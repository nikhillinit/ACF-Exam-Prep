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AM_GUIDE" sheetId="1" state="visible" r:id="rId1"/>
    <sheet xmlns:r="http://schemas.openxmlformats.org/officeDocument/2006/relationships" name="1_Capital_Structure" sheetId="2" state="visible" r:id="rId2"/>
    <sheet xmlns:r="http://schemas.openxmlformats.org/officeDocument/2006/relationships" name="2_Multi_State_Project" sheetId="3" state="visible" r:id="rId3"/>
    <sheet xmlns:r="http://schemas.openxmlformats.org/officeDocument/2006/relationships" name="3_CAPM_Discount_Rates" sheetId="4" state="visible" r:id="rId4"/>
    <sheet xmlns:r="http://schemas.openxmlformats.org/officeDocument/2006/relationships" name="4_Distress_Risk_Shift" sheetId="5" state="visible" r:id="rId5"/>
    <sheet xmlns:r="http://schemas.openxmlformats.org/officeDocument/2006/relationships" name="5_Multiples_Growth" sheetId="6" state="visible" r:id="rId6"/>
    <sheet xmlns:r="http://schemas.openxmlformats.org/officeDocument/2006/relationships" name="6_Payout_Policy" sheetId="7" state="visible" r:id="rId7"/>
    <sheet xmlns:r="http://schemas.openxmlformats.org/officeDocument/2006/relationships" name="7_Real_Options" sheetId="8" state="visible" r:id="rId8"/>
    <sheet xmlns:r="http://schemas.openxmlformats.org/officeDocument/2006/relationships" name="8_Risk_Management" sheetId="9" state="visible" r:id="rId9"/>
    <sheet xmlns:r="http://schemas.openxmlformats.org/officeDocument/2006/relationships" name="9_Diversification" sheetId="10" state="visible" r:id="rId10"/>
    <sheet xmlns:r="http://schemas.openxmlformats.org/officeDocument/2006/relationships" name="10_Option_Portfolio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"/>
    <numFmt numFmtId="166" formatCode="0.000"/>
    <numFmt numFmtId="167" formatCode="\$#,##0;&quot;($&quot;#,##0\);\-"/>
    <numFmt numFmtId="168" formatCode="0.0000"/>
    <numFmt numFmtId="169" formatCode="0.00\x"/>
    <numFmt numFmtId="170" formatCode="0.0\x"/>
    <numFmt numFmtId="171" formatCode="\$#,##0.00;&quot;($&quot;#,##0.00\)"/>
    <numFmt numFmtId="172" formatCode="\$#,##0.00"/>
    <numFmt numFmtId="173" formatCode="$#,##0.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sz val="10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8000"/>
      <sz val="11"/>
    </font>
    <font>
      <name val="Cambria"/>
      <charset val="1"/>
      <family val="0"/>
      <b val="1"/>
      <sz val="12"/>
    </font>
    <font>
      <name val="Cambria"/>
      <charset val="1"/>
      <family val="0"/>
      <i val="1"/>
      <sz val="11"/>
    </font>
    <font>
      <b val="1"/>
      <color rgb="00FFFFFF"/>
      <sz val="14"/>
    </font>
    <font>
      <b val="1"/>
      <sz val="10"/>
    </font>
    <font>
      <b val="1"/>
      <color rgb="000000FF"/>
    </font>
    <font>
      <b val="1"/>
      <sz val="11"/>
    </font>
    <font>
      <color rgb="00000000"/>
    </font>
    <font>
      <b val="1"/>
      <u val="single"/>
    </font>
    <font>
      <b val="1"/>
      <color rgb="00FFFFFF"/>
      <sz val="16"/>
    </font>
    <font>
      <b val="1"/>
      <sz val="14"/>
    </font>
    <font>
      <b val="1"/>
      <color rgb="00FFFFFF"/>
      <sz val="12"/>
    </font>
    <font>
      <b val="1"/>
    </font>
    <font>
      <b val="1"/>
      <color rgb="00FFFFFF"/>
      <sz val="11"/>
    </font>
    <font>
      <i val="1"/>
      <color rgb="00666666"/>
      <sz val="9"/>
    </font>
    <font>
      <b val="1"/>
      <sz val="12"/>
    </font>
    <font>
      <color rgb="000000FF"/>
    </font>
    <font>
      <name val="Calibri"/>
      <family val="2"/>
      <color theme="1"/>
      <sz val="11"/>
      <scheme val="minor"/>
    </font>
    <font>
      <i val="1"/>
      <color rgb="000000FF"/>
      <sz val="10"/>
    </font>
    <font>
      <color rgb="00008000"/>
    </font>
    <font>
      <i val="1"/>
      <sz val="9"/>
    </font>
    <font>
      <b val="1"/>
      <i val="1"/>
      <sz val="10"/>
    </font>
    <font>
      <b val="1"/>
      <color rgb="00FFFFFF"/>
    </font>
    <font>
      <b val="1"/>
      <color rgb="0000B050"/>
    </font>
  </fonts>
  <fills count="19">
    <fill>
      <patternFill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00FF6B35"/>
        <bgColor rgb="00FF6B35"/>
      </patternFill>
    </fill>
    <fill>
      <patternFill patternType="solid">
        <fgColor rgb="00E6F3FF"/>
        <bgColor rgb="00E6F3FF"/>
      </patternFill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F0F0F0"/>
        <bgColor rgb="00F0F0F0"/>
      </patternFill>
    </fill>
    <fill>
      <patternFill patternType="solid">
        <fgColor rgb="000066CC"/>
        <bgColor rgb="000066CC"/>
      </patternFill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B4C7F9"/>
        <bgColor rgb="00B4C7F9"/>
      </patternFill>
    </fill>
    <fill>
      <patternFill patternType="solid">
        <fgColor rgb="00E7E6E6"/>
        <bgColor rgb="00E7E6E6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F4B084"/>
        <bgColor rgb="00F4B08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7" fontId="7" fillId="3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7" fontId="0" fillId="3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10" fontId="7" fillId="3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9" fontId="7" fillId="3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71" fontId="0" fillId="3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7" fillId="3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171" fontId="7" fillId="3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5" borderId="1" pivotButton="0" quotePrefix="0" xfId="0"/>
    <xf numFmtId="0" fontId="0" fillId="0" borderId="1" pivotButton="0" quotePrefix="0" xfId="0"/>
    <xf numFmtId="0" fontId="13" fillId="6" borderId="1" pivotButton="0" quotePrefix="0" xfId="0"/>
    <xf numFmtId="0" fontId="0" fillId="6" borderId="1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4" fontId="8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7" fontId="7" fillId="3" borderId="0" applyAlignment="1" pivotButton="0" quotePrefix="0" xfId="0">
      <alignment horizontal="general" vertical="bottom"/>
    </xf>
    <xf numFmtId="167" fontId="9" fillId="0" borderId="0" applyAlignment="1" pivotButton="0" quotePrefix="0" xfId="0">
      <alignment horizontal="general" vertical="bottom"/>
    </xf>
    <xf numFmtId="167" fontId="8" fillId="0" borderId="0" applyAlignment="1" pivotButton="0" quotePrefix="0" xfId="0">
      <alignment horizontal="general" vertical="bottom"/>
    </xf>
    <xf numFmtId="167" fontId="0" fillId="3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7" fontId="10" fillId="3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10" fontId="7" fillId="3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169" fontId="7" fillId="3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4" fontId="7" fillId="4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171" fontId="0" fillId="3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172" fontId="8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2" fontId="7" fillId="3" borderId="0" applyAlignment="1" pivotButton="0" quotePrefix="0" xfId="0">
      <alignment horizontal="general" vertical="bottom"/>
    </xf>
    <xf numFmtId="1" fontId="8" fillId="0" borderId="0" applyAlignment="1" pivotButton="0" quotePrefix="0" xfId="0">
      <alignment horizontal="general" vertical="bottom"/>
    </xf>
    <xf numFmtId="171" fontId="7" fillId="3" borderId="0" applyAlignment="1" pivotButton="0" quotePrefix="0" xfId="0">
      <alignment horizontal="general" vertical="bottom"/>
    </xf>
    <xf numFmtId="171" fontId="7" fillId="0" borderId="0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14" fillId="0" borderId="0" pivotButton="0" quotePrefix="0" xfId="0"/>
    <xf numFmtId="0" fontId="14" fillId="7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8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8" borderId="0" pivotButton="0" quotePrefix="0" xfId="0"/>
    <xf numFmtId="0" fontId="21" fillId="9" borderId="0" pivotButton="0" quotePrefix="0" xfId="0"/>
    <xf numFmtId="0" fontId="0" fillId="9" borderId="0" pivotButton="0" quotePrefix="0" xfId="0"/>
    <xf numFmtId="0" fontId="20" fillId="5" borderId="0" pivotButton="0" quotePrefix="0" xfId="0"/>
    <xf numFmtId="0" fontId="0" fillId="7" borderId="0" pivotButton="0" quotePrefix="0" xfId="0"/>
    <xf numFmtId="0" fontId="17" fillId="0" borderId="0" pivotButton="0" quotePrefix="0" xfId="0"/>
    <xf numFmtId="0" fontId="12" fillId="5" borderId="0" pivotButton="0" quotePrefix="0" xfId="0"/>
    <xf numFmtId="0" fontId="0" fillId="6" borderId="0" pivotButton="0" quotePrefix="0" xfId="0"/>
    <xf numFmtId="0" fontId="22" fillId="10" borderId="0" applyAlignment="1" pivotButton="0" quotePrefix="0" xfId="0">
      <alignment horizontal="left" vertical="center"/>
    </xf>
    <xf numFmtId="0" fontId="23" fillId="0" borderId="0" pivotButton="0" quotePrefix="0" xfId="0"/>
    <xf numFmtId="0" fontId="19" fillId="0" borderId="0" pivotButton="0" quotePrefix="0" xfId="0"/>
    <xf numFmtId="0" fontId="24" fillId="0" borderId="0" pivotButton="0" quotePrefix="0" xfId="0"/>
    <xf numFmtId="0" fontId="25" fillId="13" borderId="0" pivotButton="0" quotePrefix="0" xfId="0"/>
    <xf numFmtId="0" fontId="24" fillId="11" borderId="0" pivotButton="0" quotePrefix="0" xfId="0"/>
    <xf numFmtId="10" fontId="16" fillId="0" borderId="0" pivotButton="0" quotePrefix="0" xfId="0"/>
    <xf numFmtId="2" fontId="16" fillId="0" borderId="0" pivotButton="0" quotePrefix="0" xfId="0"/>
    <xf numFmtId="173" fontId="16" fillId="0" borderId="0" pivotButton="0" quotePrefix="0" xfId="0"/>
    <xf numFmtId="0" fontId="19" fillId="7" borderId="0" pivotButton="0" quotePrefix="0" xfId="0"/>
    <xf numFmtId="0" fontId="26" fillId="0" borderId="0" applyAlignment="1" pivotButton="0" quotePrefix="0" xfId="0">
      <alignment wrapText="1"/>
    </xf>
    <xf numFmtId="0" fontId="24" fillId="7" borderId="0" pivotButton="0" quotePrefix="0" xfId="0"/>
    <xf numFmtId="0" fontId="27" fillId="0" borderId="0" pivotButton="0" quotePrefix="0" xfId="0"/>
    <xf numFmtId="0" fontId="15" fillId="12" borderId="0" pivotButton="0" quotePrefix="0" xfId="0"/>
    <xf numFmtId="173" fontId="28" fillId="0" borderId="0" pivotButton="0" quotePrefix="0" xfId="0"/>
    <xf numFmtId="0" fontId="29" fillId="0" borderId="0" pivotButton="0" quotePrefix="0" xfId="0"/>
    <xf numFmtId="0" fontId="30" fillId="0" borderId="0" applyAlignment="1" pivotButton="0" quotePrefix="0" xfId="0">
      <alignment horizontal="left"/>
    </xf>
    <xf numFmtId="0" fontId="31" fillId="8" borderId="0" applyAlignment="1" pivotButton="0" quotePrefix="0" xfId="0">
      <alignment horizontal="center" vertical="center" wrapText="1"/>
    </xf>
    <xf numFmtId="4" fontId="0" fillId="14" borderId="0" pivotButton="0" quotePrefix="0" xfId="0"/>
    <xf numFmtId="4" fontId="0" fillId="15" borderId="0" pivotButton="0" quotePrefix="0" xfId="0"/>
    <xf numFmtId="4" fontId="0" fillId="16" borderId="0" pivotButton="0" quotePrefix="0" xfId="0"/>
    <xf numFmtId="0" fontId="24" fillId="17" borderId="0" applyAlignment="1" pivotButton="0" quotePrefix="0" xfId="0">
      <alignment horizontal="general" vertical="bottom"/>
    </xf>
    <xf numFmtId="0" fontId="32" fillId="0" borderId="0" pivotButton="0" quotePrefix="0" xfId="0"/>
    <xf numFmtId="0" fontId="15" fillId="18" borderId="0" pivotButton="0" quotePrefix="0" xfId="0"/>
    <xf numFmtId="0" fontId="21" fillId="0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35" customWidth="1" style="51" min="1" max="1"/>
    <col width="25" customWidth="1" style="51" min="2" max="2"/>
    <col width="25" customWidth="1" style="51" min="3" max="3"/>
    <col width="50" customWidth="1" style="51" min="4" max="4"/>
  </cols>
  <sheetData>
    <row r="1">
      <c r="A1" s="108" t="inlineStr">
        <is>
          <t>🎓 CORPORATE FINANCE FINAL EXAM QUICK REFERENCE GUIDE</t>
        </is>
      </c>
    </row>
    <row r="2">
      <c r="A2" s="109" t="inlineStr">
        <is>
          <t>Use this guide to quickly identify which template to use for each exam question</t>
        </is>
      </c>
    </row>
    <row r="4">
      <c r="A4" s="110" t="inlineStr">
        <is>
          <t>📋 QUESTION TYPE → TEMPLATE MAPPING</t>
        </is>
      </c>
    </row>
    <row r="5">
      <c r="A5" s="111" t="inlineStr">
        <is>
          <t>Keywords in Question</t>
        </is>
      </c>
      <c r="B5" s="111" t="inlineStr">
        <is>
          <t>Example Exam Questions</t>
        </is>
      </c>
      <c r="C5" s="111" t="inlineStr">
        <is>
          <t>Template to Use</t>
        </is>
      </c>
      <c r="D5" s="111" t="inlineStr">
        <is>
          <t>Key Formulas/Concepts</t>
        </is>
      </c>
    </row>
    <row r="6">
      <c r="A6" s="50" t="inlineStr">
        <is>
          <t>Debt, default, tax shield, coupon, Debt Beta</t>
        </is>
      </c>
      <c r="B6" s="50" t="inlineStr">
        <is>
          <t>Risky debt with default scenarios</t>
        </is>
      </c>
      <c r="C6" s="50" t="inlineStr">
        <is>
          <t>1_Capital_Structure</t>
        </is>
      </c>
      <c r="D6" s="50" t="inlineStr">
        <is>
          <t>E[r_D]=(1-p)×y+p×r_def; Debt Beta=(E[r_D]-rf)/MRP; NPV_TS=Sum of (Tax Rate × Interest×P(Survival))</t>
        </is>
      </c>
    </row>
    <row r="7">
      <c r="A7" s="50" t="inlineStr">
        <is>
          <t>Equity issuance, asymmetric info, states</t>
        </is>
      </c>
      <c r="B7" s="50" t="inlineStr">
        <is>
          <t>Multi-state project financing scenarios</t>
        </is>
      </c>
      <c r="C7" s="50" t="inlineStr">
        <is>
          <t>2_Multi_State_Project</t>
        </is>
      </c>
      <c r="D7" s="50" t="inlineStr">
        <is>
          <t>Stock price signals state; New shares = Cash/(Post-issue price)</t>
        </is>
      </c>
    </row>
    <row r="8">
      <c r="A8" s="50" t="inlineStr">
        <is>
          <t>CAPM, Beta, discount rate, unlevering</t>
        </is>
      </c>
      <c r="B8" s="50" t="inlineStr">
        <is>
          <t>CAPM and discount rate problems</t>
        </is>
      </c>
      <c r="C8" s="50" t="inlineStr">
        <is>
          <t>3_CAPM_Discount_Rates</t>
        </is>
      </c>
      <c r="D8" s="50" t="inlineStr">
        <is>
          <t>Unlevered Beta=Levered Beta/(1+(1-Tax Rate)D/E); r=rf+Beta × Market Risk Premium</t>
        </is>
      </c>
    </row>
    <row r="9">
      <c r="A9" s="50" t="inlineStr">
        <is>
          <t>Senior, junior, waterfall, recovery</t>
        </is>
      </c>
      <c r="B9" s="50" t="inlineStr">
        <is>
          <t>Distressed firms with multiple debt tranches</t>
        </is>
      </c>
      <c r="C9" s="50" t="inlineStr">
        <is>
          <t>4_Distress_Risk_Shift</t>
        </is>
      </c>
      <c r="D9" s="50" t="inlineStr">
        <is>
          <t>Payoffs by seniority; Risk shifting analysis</t>
        </is>
      </c>
    </row>
    <row r="10">
      <c r="A10" s="50" t="inlineStr">
        <is>
          <t>Dividend, payout, signaling, M&amp;M</t>
        </is>
      </c>
      <c r="B10" s="50" t="inlineStr">
        <is>
          <t>Dividend and payout policy scenarios</t>
        </is>
      </c>
      <c r="C10" s="50" t="inlineStr">
        <is>
          <t>6_Payout_Policy</t>
        </is>
      </c>
      <c r="D10" s="50" t="inlineStr">
        <is>
          <t>Stock+Div=Constant (M&amp;M); ΔV=PV(tax shield)-ΔDistress</t>
        </is>
      </c>
    </row>
    <row r="11">
      <c r="A11" s="50" t="inlineStr">
        <is>
          <t>Hedge, derivatives, cap, collar</t>
        </is>
      </c>
      <c r="B11" s="50" t="inlineStr">
        <is>
          <t>Spirit Airlines fuel hedging</t>
        </is>
      </c>
      <c r="C11" s="50" t="inlineStr">
        <is>
          <t>8_Risk_Management</t>
        </is>
      </c>
      <c r="D11" s="50" t="inlineStr">
        <is>
          <t>Hedging reduces Beta; No timing advantage if fairly priced</t>
        </is>
      </c>
    </row>
    <row r="12">
      <c r="A12" s="50" t="inlineStr">
        <is>
          <t>Convertible, options, warrants</t>
        </is>
      </c>
      <c r="B12" s="50" t="inlineStr">
        <is>
          <t>Ataraxis CPE</t>
        </is>
      </c>
      <c r="C12" s="50" t="inlineStr">
        <is>
          <t>10_Option_Portfolios</t>
        </is>
      </c>
      <c r="D12" s="50" t="inlineStr">
        <is>
          <t>CPE=10×Stock-10×Call(X); Put-call parity</t>
        </is>
      </c>
    </row>
    <row r="15">
      <c r="A15" s="110" t="inlineStr">
        <is>
          <t>🔄 MULTI-PERIOD PROBLEM WORKFLOW</t>
        </is>
      </c>
    </row>
    <row r="16">
      <c r="A16" s="50" t="inlineStr">
        <is>
          <t>For problems with Two-period, multi-state problems (value today, decision next period, payoffs in a later period):</t>
        </is>
      </c>
    </row>
    <row r="17">
      <c r="A17" s="50" t="inlineStr">
        <is>
          <t>Step 1: Value t=1 cashflows and decisions using appropriate discount rate</t>
        </is>
      </c>
    </row>
    <row r="18">
      <c r="A18" s="112" t="inlineStr">
        <is>
          <t>Step 2: Treat t=1 value as 'Old Assets' in the Multi-State template</t>
        </is>
      </c>
    </row>
    <row r="19">
      <c r="A19" s="50" t="inlineStr">
        <is>
          <t>Step 3: Add t=0 investment/financing to analysis</t>
        </is>
      </c>
    </row>
    <row r="20">
      <c r="A20" s="112" t="inlineStr">
        <is>
          <t>Step 4: Compute payoffs to each stakeholder in each state</t>
        </is>
      </c>
    </row>
    <row r="22">
      <c r="A22" s="113" t="inlineStr">
        <is>
          <t>⚠️ COMMON EXAM PITFALLS TO AVOID</t>
        </is>
      </c>
    </row>
    <row r="23">
      <c r="A23" s="50" t="inlineStr">
        <is>
          <t>❌ Using coupon rate as E[r_D] when bonds trade off-par (use yield!)</t>
        </is>
      </c>
    </row>
    <row r="24">
      <c r="A24" s="114" t="inlineStr">
        <is>
          <t>❌ Forgetting to multiply tax shield by P(Survival) in default scenarios</t>
        </is>
      </c>
    </row>
    <row r="25">
      <c r="A25" s="50" t="inlineStr">
        <is>
          <t>❌ Using Tax Rate × Debt perpetual formula when debt has finite maturity</t>
        </is>
      </c>
    </row>
    <row r="26">
      <c r="A26" s="114" t="inlineStr">
        <is>
          <t>❌ Confusing 'promised return' with 'expected return' on risky debt</t>
        </is>
      </c>
    </row>
    <row r="27">
      <c r="A27" s="50" t="inlineStr">
        <is>
          <t>❌ Ignoring that Principal O/S decreases for amortizing debt</t>
        </is>
      </c>
    </row>
    <row r="28">
      <c r="A28" s="114" t="inlineStr">
        <is>
          <t>❌ Missing that equity issuance is zero-NPV for NEW shareholders, not old</t>
        </is>
      </c>
    </row>
    <row r="29">
      <c r="A29" s="50" t="inlineStr">
        <is>
          <t>❌ Assuming dividend timing affects value (M&amp;M irrelevance)</t>
        </is>
      </c>
    </row>
    <row r="30">
      <c r="A30" s="114" t="inlineStr">
        <is>
          <t>❌ Believing hedging is profitable if you can 'predict' prices (EMH!)</t>
        </is>
      </c>
    </row>
    <row r="32">
      <c r="A32" s="110" t="inlineStr">
        <is>
          <t>⏱️ EXAM TIME-SAVING STRATEGIES</t>
        </is>
      </c>
    </row>
    <row r="33">
      <c r="A33" s="50" t="inlineStr">
        <is>
          <t>1. Read ALL parts of a question first - later parts often clarify what's needed</t>
        </is>
      </c>
    </row>
    <row r="34">
      <c r="A34" s="50" t="inlineStr">
        <is>
          <t>2. For multi-state problems, sketch the decision tree BEFORE calculating</t>
        </is>
      </c>
    </row>
    <row r="35">
      <c r="A35" s="50" t="inlineStr">
        <is>
          <t>3. Label your assumptions clearly (Tax Rate, rf, Beta, etc.) to avoid mistakes</t>
        </is>
      </c>
    </row>
    <row r="36">
      <c r="A36" s="50" t="inlineStr">
        <is>
          <t>4. Check that your answer makes economic sense (e.g., equity value ≥ 0)</t>
        </is>
      </c>
    </row>
    <row r="37">
      <c r="A37" s="50" t="inlineStr">
        <is>
          <t>5. Use the templates but MODIFY formulas for specific problem features</t>
        </is>
      </c>
    </row>
    <row r="38">
      <c r="A38" s="50" t="inlineStr">
        <is>
          <t>6. For signaling questions: think 'What does announcing X reveal?'</t>
        </is>
      </c>
    </row>
    <row r="39">
      <c r="A39" s="50" t="inlineStr">
        <is>
          <t>7. When stuck, write out the CAPM/MM equation - it often points the way</t>
        </is>
      </c>
    </row>
  </sheetData>
  <mergeCells count="26">
    <mergeCell ref="A16:F16"/>
    <mergeCell ref="A37:F37"/>
    <mergeCell ref="A27:F27"/>
    <mergeCell ref="A18:F18"/>
    <mergeCell ref="A26:F26"/>
    <mergeCell ref="A2:F2"/>
    <mergeCell ref="A33:F33"/>
    <mergeCell ref="A23:F23"/>
    <mergeCell ref="A32:F32"/>
    <mergeCell ref="A22:F22"/>
    <mergeCell ref="A17:F17"/>
    <mergeCell ref="A35:F35"/>
    <mergeCell ref="A4:F4"/>
    <mergeCell ref="A20:F20"/>
    <mergeCell ref="A29:F29"/>
    <mergeCell ref="A38:F38"/>
    <mergeCell ref="A28:F28"/>
    <mergeCell ref="A19:F19"/>
    <mergeCell ref="A34:F34"/>
    <mergeCell ref="A30:F30"/>
    <mergeCell ref="A39:F39"/>
    <mergeCell ref="A15:F15"/>
    <mergeCell ref="A24:F24"/>
    <mergeCell ref="A36:F36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cols>
    <col width="35" customWidth="1" style="51" min="1" max="1"/>
    <col width="18" customWidth="1" style="51" min="2" max="2"/>
    <col width="15" customWidth="1" style="51" min="3" max="3"/>
    <col width="3" customWidth="1" style="51" min="4" max="4"/>
    <col width="25" customWidth="1" style="51" min="5" max="5"/>
    <col width="18" customWidth="1" style="51" min="6" max="6"/>
    <col width="15" customWidth="1" style="51" min="7" max="7"/>
    <col width="12" customWidth="1" style="51" min="8" max="8"/>
    <col width="12" customWidth="1" style="51" min="9" max="9"/>
    <col width="12" customWidth="1" style="51" min="10" max="10"/>
    <col width="12" customWidth="1" style="51" min="11" max="11"/>
  </cols>
  <sheetData>
    <row r="1">
      <c r="A1" s="120" t="inlineStr">
        <is>
          <t>CAPITAL STRUCTURE - DUAL BOND ANALYZER</t>
        </is>
      </c>
    </row>
    <row r="2">
      <c r="A2" s="50" t="inlineStr">
        <is>
          <t>Calculates YTM, expected returns, beta, and tax shields for TWO bonds simultaneously</t>
        </is>
      </c>
    </row>
    <row r="4">
      <c r="A4" s="50" t="inlineStr">
        <is>
          <t>INSTRUCTIONS: Enter values in BLUE cells | Bond B optional for single-bond analysis | Amounts in $M | Rates as decimals</t>
        </is>
      </c>
    </row>
    <row r="6">
      <c r="A6" s="121" t="inlineStr">
        <is>
          <t>═══ MARKET PARAMETERS (Shared) ═══</t>
        </is>
      </c>
    </row>
    <row r="7">
      <c r="A7" s="50" t="inlineStr">
        <is>
          <t>Risk-Free Rate (r_f)</t>
        </is>
      </c>
      <c r="B7" s="122" t="n">
        <v>0.03</v>
      </c>
      <c r="C7" s="50" t="inlineStr">
        <is>
          <t>e.g., 0.03 for 3%</t>
        </is>
      </c>
    </row>
    <row r="8">
      <c r="A8" s="50" t="inlineStr">
        <is>
          <t>Market Risk Premium</t>
        </is>
      </c>
      <c r="B8" s="122" t="n">
        <v>0.06</v>
      </c>
      <c r="C8" s="50" t="inlineStr">
        <is>
          <t>E[r_M] - r_f</t>
        </is>
      </c>
    </row>
    <row r="9">
      <c r="A9" s="50" t="inlineStr">
        <is>
          <t>Corporate Tax Rate (τ)</t>
        </is>
      </c>
      <c r="B9" s="122" t="n">
        <v>0.25</v>
      </c>
      <c r="C9" s="50" t="inlineStr">
        <is>
          <t>e.g., 0.25 for 25%</t>
        </is>
      </c>
    </row>
    <row r="11">
      <c r="A11" s="123" t="inlineStr">
        <is>
          <t>═══ BOND A (Short-Term) ═══</t>
        </is>
      </c>
      <c r="E11" s="123" t="inlineStr">
        <is>
          <t>═══ BOND B (Long-Term) ═══</t>
        </is>
      </c>
    </row>
    <row r="12">
      <c r="A12" s="50" t="inlineStr">
        <is>
          <t>Face Value</t>
        </is>
      </c>
      <c r="B12" s="122" t="n">
        <v>150</v>
      </c>
      <c r="C12" s="50" t="inlineStr">
        <is>
          <t>$ millions</t>
        </is>
      </c>
      <c r="E12" s="50" t="inlineStr">
        <is>
          <t>Face Value</t>
        </is>
      </c>
      <c r="F12" s="122" t="n">
        <v>150</v>
      </c>
      <c r="G12" s="50" t="inlineStr">
        <is>
          <t>$ millions</t>
        </is>
      </c>
    </row>
    <row r="13">
      <c r="A13" s="50" t="inlineStr">
        <is>
          <t>Coupon Rate</t>
        </is>
      </c>
      <c r="B13" s="122" t="n">
        <v>0.06</v>
      </c>
      <c r="C13" s="50" t="inlineStr">
        <is>
          <t>annual, decimal</t>
        </is>
      </c>
      <c r="E13" s="50" t="inlineStr">
        <is>
          <t>Coupon Rate</t>
        </is>
      </c>
      <c r="F13" s="122" t="n">
        <v>0.08</v>
      </c>
      <c r="G13" s="50" t="inlineStr">
        <is>
          <t>annual, decimal</t>
        </is>
      </c>
    </row>
    <row r="14">
      <c r="A14" s="50" t="inlineStr">
        <is>
          <t>Maturity</t>
        </is>
      </c>
      <c r="B14" s="122" t="n">
        <v>3</v>
      </c>
      <c r="C14" s="50" t="inlineStr">
        <is>
          <t>years</t>
        </is>
      </c>
      <c r="E14" s="50" t="inlineStr">
        <is>
          <t>Maturity</t>
        </is>
      </c>
      <c r="F14" s="122" t="n">
        <v>7</v>
      </c>
      <c r="G14" s="50" t="inlineStr">
        <is>
          <t>years</t>
        </is>
      </c>
    </row>
    <row r="15">
      <c r="A15" s="50" t="inlineStr">
        <is>
          <t>Issue Price</t>
        </is>
      </c>
      <c r="B15" s="122" t="n">
        <v>1</v>
      </c>
      <c r="C15" s="50" t="inlineStr">
        <is>
          <t>1.00 = par, 1.05 = 105%</t>
        </is>
      </c>
      <c r="E15" s="50" t="inlineStr">
        <is>
          <t>Issue Price</t>
        </is>
      </c>
      <c r="F15" s="122" t="n">
        <v>1.05</v>
      </c>
      <c r="G15" s="50" t="inlineStr">
        <is>
          <t>1.00 = par, 1.05 = 105%</t>
        </is>
      </c>
    </row>
    <row r="16">
      <c r="A16" s="50" t="inlineStr">
        <is>
          <t>Default Probability (p)</t>
        </is>
      </c>
      <c r="B16" s="122" t="n">
        <v>0.08</v>
      </c>
      <c r="C16" s="50" t="inlineStr">
        <is>
          <t>at maturity</t>
        </is>
      </c>
      <c r="E16" s="50" t="inlineStr">
        <is>
          <t>Default Probability (p)</t>
        </is>
      </c>
      <c r="F16" s="122" t="n">
        <v>0.08</v>
      </c>
      <c r="G16" s="50" t="inlineStr">
        <is>
          <t>at maturity</t>
        </is>
      </c>
    </row>
    <row r="17">
      <c r="A17" s="50" t="inlineStr">
        <is>
          <t>Recovery Rate (R)</t>
        </is>
      </c>
      <c r="B17" s="122" t="n">
        <v>0.6</v>
      </c>
      <c r="C17" s="50" t="inlineStr">
        <is>
          <t>% of face value</t>
        </is>
      </c>
      <c r="E17" s="50" t="inlineStr">
        <is>
          <t>Recovery Rate (R)</t>
        </is>
      </c>
      <c r="F17" s="122" t="n">
        <v>0.6</v>
      </c>
      <c r="G17" s="50" t="inlineStr">
        <is>
          <t>% of face value</t>
        </is>
      </c>
    </row>
    <row r="19">
      <c r="A19" s="121" t="inlineStr">
        <is>
          <t>--- Bond A Results ---</t>
        </is>
      </c>
      <c r="E19" s="121" t="inlineStr">
        <is>
          <t>--- Bond B Results ---</t>
        </is>
      </c>
    </row>
    <row r="20">
      <c r="A20" s="50" t="inlineStr">
        <is>
          <t>Promised YTM (y)</t>
        </is>
      </c>
      <c r="B20" s="124">
        <f>IF(B12="","",IF(B15=1,B13,RATE(B14,B13*B12,-B15*B12,B12)))</f>
        <v/>
      </c>
      <c r="E20" s="50" t="inlineStr">
        <is>
          <t>Promised YTM (y)</t>
        </is>
      </c>
      <c r="F20" s="124">
        <f>IF(F12="","",IF(F15=1,F13,RATE(F14,F13*F12,-F15*F12,F12)))</f>
        <v/>
      </c>
    </row>
    <row r="21">
      <c r="A21" s="50" t="inlineStr">
        <is>
          <t>Expected Return E[r_D]</t>
        </is>
      </c>
      <c r="B21" s="124">
        <f>IF(B12="","",(1-B16)*B20 + B16*((B17/B15)-1))</f>
        <v/>
      </c>
      <c r="E21" s="50" t="inlineStr">
        <is>
          <t>Expected Return E[r_D]</t>
        </is>
      </c>
      <c r="F21" s="124">
        <f>IF(F12="","",(1-F16)*F20 + F16*((F17/F15)-1))</f>
        <v/>
      </c>
    </row>
    <row r="22">
      <c r="A22" s="50" t="inlineStr">
        <is>
          <t>Debt Beta (β_D)</t>
        </is>
      </c>
      <c r="B22" s="125">
        <f>IF(B12="","",(B21-$B$7)/$B$8)</f>
        <v/>
      </c>
      <c r="E22" s="50" t="inlineStr">
        <is>
          <t>Debt Beta (β_D)</t>
        </is>
      </c>
      <c r="F22" s="125">
        <f>IF(F12="","",(F21-$B$7)/$B$8)</f>
        <v/>
      </c>
    </row>
    <row r="23">
      <c r="A23" s="50" t="inlineStr">
        <is>
          <t>Tax Shield NPV</t>
        </is>
      </c>
      <c r="B23" s="126">
        <f>IF(B12="","",B12*B13*$B$9*((1-POWER(1/(1+B21),B14))/(B21))*(1-B16*POWER(1/(1+B21),B14)))</f>
        <v/>
      </c>
      <c r="C23" s="50" t="inlineStr">
        <is>
          <t>$ millions</t>
        </is>
      </c>
      <c r="E23" s="50" t="inlineStr">
        <is>
          <t>Tax Shield NPV</t>
        </is>
      </c>
      <c r="F23" s="126">
        <f>IF(F12="","",F12*F13*$B$9*((1-POWER(1/(1+F21),F14))/(F21))*(1-F16*POWER(1/(1+F21),F14)))</f>
        <v/>
      </c>
      <c r="G23" s="50" t="inlineStr">
        <is>
          <t>$ millions</t>
        </is>
      </c>
    </row>
    <row r="25">
      <c r="A25" s="127" t="inlineStr">
        <is>
          <t>═══════ COMBINED FIRM ANALYSIS ═══════</t>
        </is>
      </c>
    </row>
    <row r="27">
      <c r="A27" s="50" t="inlineStr">
        <is>
          <t>Total Debt (Face)</t>
        </is>
      </c>
      <c r="B27" s="126">
        <f>IF(B12="",0,B12)+IF(F12="",0,F12)</f>
        <v/>
      </c>
      <c r="C27" s="50" t="inlineStr">
        <is>
          <t>$ millions</t>
        </is>
      </c>
    </row>
    <row r="28">
      <c r="A28" s="50" t="inlineStr">
        <is>
          <t>Weighted Avg Cost of Debt</t>
        </is>
      </c>
      <c r="B28" s="124">
        <f>IF(B27=0,"",IF(B12="",F21,IF(F12="",B21,(B12*B21+F12*F21)/B27)))</f>
        <v/>
      </c>
      <c r="C28" s="50" t="inlineStr">
        <is>
          <t>E[r_D] weighted</t>
        </is>
      </c>
    </row>
    <row r="29">
      <c r="A29" s="50" t="inlineStr">
        <is>
          <t>Weighted Avg Debt Beta</t>
        </is>
      </c>
      <c r="B29" s="125">
        <f>IF(B27=0,"",IF(B12="",F22,IF(F12="",B22,(B12*B22+F12*F22)/B27)))</f>
        <v/>
      </c>
    </row>
    <row r="30">
      <c r="A30" s="50" t="inlineStr">
        <is>
          <t>TOTAL Tax Shield NPV</t>
        </is>
      </c>
      <c r="B30" s="126">
        <f>IF(B12="",0,B23)+IF(F12="",0,F23)</f>
        <v/>
      </c>
      <c r="C30" s="50" t="inlineStr">
        <is>
          <t>$ millions</t>
        </is>
      </c>
    </row>
    <row r="31">
      <c r="A31" s="50" t="inlineStr">
        <is>
          <t>Sanity Check: Max TS</t>
        </is>
      </c>
      <c r="B31" s="126">
        <f>B27*$B$9</f>
        <v/>
      </c>
      <c r="C31" s="50" t="inlineStr">
        <is>
          <t>τ × D (perpetuity upper bound)</t>
        </is>
      </c>
    </row>
    <row r="33">
      <c r="A33" s="121" t="inlineStr">
        <is>
          <t>REFINANCING STRUCTURE</t>
        </is>
      </c>
    </row>
    <row r="34">
      <c r="A34" s="50" t="inlineStr">
        <is>
          <t>Maturity Structure:</t>
        </is>
      </c>
      <c r="B34" s="107">
        <f>IF(AND(B12&lt;&gt;"",F12&lt;&gt;""),CONCATENATE("Staggered: Bond A Year ",TEXT(B14,"0"),", Bond B Year ",TEXT(F14,"0")),"Single bond")</f>
        <v/>
      </c>
    </row>
    <row r="35">
      <c r="A35" s="50" t="inlineStr">
        <is>
          <t>Benefits of Staggering:</t>
        </is>
      </c>
      <c r="B35" s="128" t="inlineStr">
        <is>
          <t>• Reduces rollover risk
• Spreads refinancing over time
• Provides flexibility</t>
        </is>
      </c>
    </row>
    <row r="36">
      <c r="A36" s="50" t="inlineStr">
        <is>
          <t>Cost:</t>
        </is>
      </c>
      <c r="B36" s="50" t="inlineStr">
        <is>
          <t>• Longer bonds typically higher rates</t>
        </is>
      </c>
    </row>
    <row r="38">
      <c r="A38" s="129" t="inlineStr">
        <is>
          <t>⚠️  CRITICAL CHECKS</t>
        </is>
      </c>
    </row>
    <row r="39">
      <c r="A39" s="50" t="inlineStr">
        <is>
          <t>✓ If Price &gt; 100%, YTM &lt; Coupon (premium bond)</t>
        </is>
      </c>
    </row>
    <row r="40">
      <c r="A40" s="50" t="inlineStr">
        <is>
          <t>✓ Total TS should be &lt; Max TS (sanity check)</t>
        </is>
      </c>
    </row>
    <row r="41">
      <c r="A41" s="50" t="inlineStr">
        <is>
          <t>✓ Beta should be positive for risky debt</t>
        </is>
      </c>
    </row>
    <row r="42">
      <c r="A42" s="50" t="inlineStr">
        <is>
          <t>✓ E[r_D] should be between r_f and E[r_M]</t>
        </is>
      </c>
    </row>
    <row r="44">
      <c r="I44" s="130" t="inlineStr">
        <is>
          <t>💡 XIRR engines below compute exact YTM for premium/discount bonds</t>
        </is>
      </c>
    </row>
    <row r="45">
      <c r="I45" s="131" t="inlineStr">
        <is>
          <t>═══ BOND A - XIRR ENGINE ═══</t>
        </is>
      </c>
    </row>
    <row r="46">
      <c r="I46" s="50" t="inlineStr">
        <is>
          <t>Period</t>
        </is>
      </c>
      <c r="J46" s="50" t="inlineStr">
        <is>
          <t>Date</t>
        </is>
      </c>
      <c r="K46" s="50" t="inlineStr">
        <is>
          <t>Cash Flow</t>
        </is>
      </c>
    </row>
    <row r="47">
      <c r="J47" s="50">
        <f>TODAY()</f>
        <v/>
      </c>
      <c r="K47" s="132">
        <f>-B12*B15</f>
        <v/>
      </c>
    </row>
    <row r="48">
      <c r="I48" s="50" t="n">
        <v>1</v>
      </c>
      <c r="J48" s="50">
        <f>EDATE(J47,1*12)</f>
        <v/>
      </c>
      <c r="K48" s="132">
        <f>IF(1&lt;=B14,B12*B13+IF(1=B14,B12,0),"")</f>
        <v/>
      </c>
    </row>
    <row r="49">
      <c r="I49" s="50" t="n">
        <v>2</v>
      </c>
      <c r="J49" s="50">
        <f>EDATE(J47,2*12)</f>
        <v/>
      </c>
      <c r="K49" s="132">
        <f>IF(2&lt;=B14,B12*B13+IF(2=B14,B12,0),"")</f>
        <v/>
      </c>
    </row>
    <row r="50">
      <c r="I50" s="50" t="n">
        <v>3</v>
      </c>
      <c r="J50" s="50">
        <f>EDATE(J47,3*12)</f>
        <v/>
      </c>
      <c r="K50" s="132">
        <f>IF(3&lt;=B14,B12*B13+IF(3=B14,B12,0),"")</f>
        <v/>
      </c>
    </row>
    <row r="51">
      <c r="I51" s="50" t="n">
        <v>4</v>
      </c>
      <c r="J51" s="50">
        <f>EDATE(J47,4*12)</f>
        <v/>
      </c>
      <c r="K51" s="132">
        <f>IF(4&lt;=B14,B12*B13+IF(4=B14,B12,0),"")</f>
        <v/>
      </c>
    </row>
    <row r="52">
      <c r="I52" s="50" t="n">
        <v>5</v>
      </c>
      <c r="J52" s="50">
        <f>EDATE(J47,5*12)</f>
        <v/>
      </c>
      <c r="K52" s="132">
        <f>IF(5&lt;=B14,B12*B13+IF(5=B14,B12,0),"")</f>
        <v/>
      </c>
    </row>
    <row r="53">
      <c r="I53" s="50" t="n">
        <v>6</v>
      </c>
      <c r="J53" s="50">
        <f>EDATE(J47,6*12)</f>
        <v/>
      </c>
      <c r="K53" s="132">
        <f>IF(6&lt;=B14,B12*B13+IF(6=B14,B12,0),"")</f>
        <v/>
      </c>
    </row>
    <row r="54">
      <c r="I54" s="50" t="n">
        <v>7</v>
      </c>
      <c r="J54" s="50">
        <f>EDATE(J47,7*12)</f>
        <v/>
      </c>
      <c r="K54" s="132">
        <f>IF(7&lt;=B14,B12*B13+IF(7=B14,B12,0),"")</f>
        <v/>
      </c>
    </row>
    <row r="55">
      <c r="I55" s="50" t="n">
        <v>8</v>
      </c>
      <c r="J55" s="50">
        <f>EDATE(J47,8*12)</f>
        <v/>
      </c>
      <c r="K55" s="132">
        <f>IF(8&lt;=B14,B12*B13+IF(8=B14,B12,0),"")</f>
        <v/>
      </c>
    </row>
    <row r="56">
      <c r="I56" s="50" t="n">
        <v>9</v>
      </c>
      <c r="J56" s="50">
        <f>EDATE(J47,9*12)</f>
        <v/>
      </c>
      <c r="K56" s="132">
        <f>IF(9&lt;=B14,B12*B13+IF(9=B14,B12,0),"")</f>
        <v/>
      </c>
    </row>
    <row r="57">
      <c r="I57" s="50" t="n">
        <v>10</v>
      </c>
      <c r="J57" s="50">
        <f>EDATE(J47,10*12)</f>
        <v/>
      </c>
      <c r="K57" s="132">
        <f>IF(10&lt;=B14,B12*B13+IF(10=B14,B12,0),"")</f>
        <v/>
      </c>
    </row>
    <row r="59">
      <c r="I59" s="50" t="inlineStr">
        <is>
          <t>Promised YTM (XIRR):</t>
        </is>
      </c>
      <c r="K59" s="124">
        <f>IF(B12="","",XIRR(K47:K57,J47:J57))</f>
        <v/>
      </c>
    </row>
    <row r="60">
      <c r="I60" s="133" t="inlineStr">
        <is>
          <t>Use this YTM for premium/discount bonds</t>
        </is>
      </c>
    </row>
    <row r="63">
      <c r="I63" s="131" t="inlineStr">
        <is>
          <t>═══ BOND B - XIRR ENGINE ═══</t>
        </is>
      </c>
    </row>
    <row r="64">
      <c r="I64" s="50" t="inlineStr">
        <is>
          <t>Period</t>
        </is>
      </c>
      <c r="J64" s="50" t="inlineStr">
        <is>
          <t>Date</t>
        </is>
      </c>
      <c r="K64" s="50" t="inlineStr">
        <is>
          <t>Cash Flow</t>
        </is>
      </c>
    </row>
    <row r="65">
      <c r="J65" s="50">
        <f>TODAY()</f>
        <v/>
      </c>
      <c r="K65" s="132">
        <f>-F12*F15</f>
        <v/>
      </c>
    </row>
    <row r="66">
      <c r="I66" s="50" t="n">
        <v>1</v>
      </c>
      <c r="J66" s="50">
        <f>EDATE(J65,1*12)</f>
        <v/>
      </c>
      <c r="K66" s="132">
        <f>IF(1&lt;=F14,F12*F13+IF(1=F14,F12,0),"")</f>
        <v/>
      </c>
    </row>
    <row r="67">
      <c r="I67" s="50" t="n">
        <v>2</v>
      </c>
      <c r="J67" s="50">
        <f>EDATE(J65,2*12)</f>
        <v/>
      </c>
      <c r="K67" s="132">
        <f>IF(2&lt;=F14,F12*F13+IF(2=F14,F12,0),"")</f>
        <v/>
      </c>
    </row>
    <row r="68">
      <c r="I68" s="50" t="n">
        <v>3</v>
      </c>
      <c r="J68" s="50">
        <f>EDATE(J65,3*12)</f>
        <v/>
      </c>
      <c r="K68" s="132">
        <f>IF(3&lt;=F14,F12*F13+IF(3=F14,F12,0),"")</f>
        <v/>
      </c>
    </row>
    <row r="69">
      <c r="I69" s="50" t="n">
        <v>4</v>
      </c>
      <c r="J69" s="50">
        <f>EDATE(J65,4*12)</f>
        <v/>
      </c>
      <c r="K69" s="132">
        <f>IF(4&lt;=F14,F12*F13+IF(4=F14,F12,0),"")</f>
        <v/>
      </c>
    </row>
    <row r="70">
      <c r="I70" s="50" t="n">
        <v>5</v>
      </c>
      <c r="J70" s="50">
        <f>EDATE(J65,5*12)</f>
        <v/>
      </c>
      <c r="K70" s="132">
        <f>IF(5&lt;=F14,F12*F13+IF(5=F14,F12,0),"")</f>
        <v/>
      </c>
    </row>
    <row r="71">
      <c r="I71" s="50" t="n">
        <v>6</v>
      </c>
      <c r="J71" s="50">
        <f>EDATE(J65,6*12)</f>
        <v/>
      </c>
      <c r="K71" s="132">
        <f>IF(6&lt;=F14,F12*F13+IF(6=F14,F12,0),"")</f>
        <v/>
      </c>
    </row>
    <row r="72">
      <c r="I72" s="50" t="n">
        <v>7</v>
      </c>
      <c r="J72" s="50">
        <f>EDATE(J65,7*12)</f>
        <v/>
      </c>
      <c r="K72" s="132">
        <f>IF(7&lt;=F14,F12*F13+IF(7=F14,F12,0),"")</f>
        <v/>
      </c>
    </row>
    <row r="73">
      <c r="I73" s="50" t="n">
        <v>8</v>
      </c>
      <c r="J73" s="50">
        <f>EDATE(J65,8*12)</f>
        <v/>
      </c>
      <c r="K73" s="132">
        <f>IF(8&lt;=F14,F12*F13+IF(8=F14,F12,0),"")</f>
        <v/>
      </c>
    </row>
    <row r="74">
      <c r="I74" s="50" t="n">
        <v>9</v>
      </c>
      <c r="J74" s="50">
        <f>EDATE(J65,9*12)</f>
        <v/>
      </c>
      <c r="K74" s="132">
        <f>IF(9&lt;=F14,F12*F13+IF(9=F14,F12,0),"")</f>
        <v/>
      </c>
    </row>
    <row r="75">
      <c r="I75" s="50" t="n">
        <v>10</v>
      </c>
      <c r="J75" s="50">
        <f>EDATE(J65,10*12)</f>
        <v/>
      </c>
      <c r="K75" s="132">
        <f>IF(10&lt;=F14,F12*F13+IF(10=F14,F12,0),"")</f>
        <v/>
      </c>
    </row>
    <row r="77">
      <c r="I77" s="50" t="inlineStr">
        <is>
          <t>Promised YTM (XIRR):</t>
        </is>
      </c>
      <c r="K77" s="124">
        <f>IF(F12="","",XIRR(K65:K75,J65:J75))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50" min="1" max="1"/>
    <col width="18" customWidth="1" style="50" min="2" max="4"/>
    <col width="30" customWidth="1" style="50" min="5" max="5"/>
  </cols>
  <sheetData>
    <row r="1" ht="17.25" customHeight="1" s="51">
      <c r="A1" s="118" t="inlineStr">
        <is>
          <t>This sheet implements Archetype 2: Multi-State Project &amp; Financing</t>
        </is>
      </c>
    </row>
    <row r="2" ht="15" customHeight="1" s="51">
      <c r="A2" s="116" t="inlineStr">
        <is>
          <t>📌 EXAM QUICK REFERENCE</t>
        </is>
      </c>
    </row>
    <row r="3">
      <c r="B3" s="117" t="inlineStr">
        <is>
          <t>• Multi-state equity issuance and financing questions</t>
        </is>
      </c>
    </row>
    <row r="4" ht="15" customHeight="1" s="51"/>
    <row r="5" ht="15" customHeight="1" s="51"/>
    <row r="6" ht="15" customHeight="1" s="51">
      <c r="B6" s="117" t="inlineStr">
        <is>
          <t>• Myers-Majluf underinvestment / debt overhang</t>
        </is>
      </c>
    </row>
    <row r="7" ht="15" customHeight="1" s="51"/>
    <row r="8">
      <c r="A8" s="56" t="inlineStr">
        <is>
          <t>MULTI-STATE PROJECT &amp; FINANCING ANALYZER</t>
        </is>
      </c>
    </row>
    <row r="9" ht="15" customHeight="1" s="51">
      <c r="A9" s="57" t="inlineStr">
        <is>
          <t>Analyzes how projects affect stakeholders across economic states (debt overhang, value transfers)</t>
        </is>
      </c>
    </row>
    <row r="10" ht="15" customHeight="1" s="51"/>
    <row r="11" ht="15" customHeight="1" s="51">
      <c r="A11" s="58" t="inlineStr">
        <is>
          <t>INSTRUCTIONS:</t>
        </is>
      </c>
    </row>
    <row r="12" ht="15" customHeight="1" s="51">
      <c r="A12" s="50" t="inlineStr">
        <is>
          <t>1. Enter values in BLUE cells (scenarios, probabilities, cash flows)</t>
        </is>
      </c>
    </row>
    <row r="13">
      <c r="A13" s="50" t="inlineStr">
        <is>
          <t>2. Template calculates value for senior claims vs equity in each state</t>
        </is>
      </c>
    </row>
    <row r="14" ht="15" customHeight="1" s="51">
      <c r="A14" s="50" t="inlineStr">
        <is>
          <t>3. Shows whether old shareholders benefit from project</t>
        </is>
      </c>
    </row>
    <row r="15" ht="15" customHeight="1" s="51"/>
    <row r="16" ht="15" customHeight="1" s="51">
      <c r="A16" s="58" t="inlineStr">
        <is>
          <t>A. INPUTS &amp; STATE DEFINITIONS</t>
        </is>
      </c>
    </row>
    <row r="17" ht="15" customHeight="1" s="51">
      <c r="A17" s="50" t="inlineStr">
        <is>
          <t>Investment Required (X):</t>
        </is>
      </c>
      <c r="B17" s="74" t="n">
        <v>50</v>
      </c>
      <c r="C17" s="50" t="inlineStr">
        <is>
          <t>$ millions</t>
        </is>
      </c>
    </row>
    <row r="18" ht="15" customHeight="1" s="51">
      <c r="A18" s="50" t="inlineStr">
        <is>
          <t>Face Value Senior Claim (D):</t>
        </is>
      </c>
      <c r="B18" s="74" t="n">
        <v>80</v>
      </c>
      <c r="C18" s="50" t="inlineStr">
        <is>
          <t>$ millions</t>
        </is>
      </c>
    </row>
    <row r="19" ht="15" customHeight="1" s="51">
      <c r="A19" s="50" t="inlineStr">
        <is>
          <t>Discount Rate (r):</t>
        </is>
      </c>
      <c r="B19" s="61" t="n">
        <v>0.1</v>
      </c>
      <c r="C19" s="50" t="inlineStr">
        <is>
          <t>for all claims (simplified)</t>
        </is>
      </c>
    </row>
    <row r="21" ht="15" customHeight="1" s="51">
      <c r="A21" s="58" t="inlineStr">
        <is>
          <t>B. STATE-CONTINGENT VALUATION TABLE</t>
        </is>
      </c>
    </row>
    <row r="22" ht="15" customHeight="1" s="51">
      <c r="A22" s="67" t="inlineStr">
        <is>
          <t>State</t>
        </is>
      </c>
    </row>
    <row r="23" ht="15" customHeight="1" s="51">
      <c r="A23" s="50" t="inlineStr">
        <is>
          <t>Boom</t>
        </is>
      </c>
      <c r="B23" s="50" t="n">
        <v>0.25</v>
      </c>
      <c r="C23" s="50" t="n">
        <v>120</v>
      </c>
      <c r="D23" s="50" t="n">
        <v>50</v>
      </c>
      <c r="E23" s="50">
        <f>C23+D23</f>
        <v/>
      </c>
    </row>
    <row r="24" ht="15" customHeight="1" s="51">
      <c r="A24" s="50" t="inlineStr">
        <is>
          <t>Base</t>
        </is>
      </c>
      <c r="B24" s="61" t="n">
        <v>0.5</v>
      </c>
      <c r="C24" s="74" t="n">
        <v>100</v>
      </c>
      <c r="D24" s="74" t="n">
        <v>30</v>
      </c>
      <c r="E24" s="70">
        <f>C24+D24</f>
        <v/>
      </c>
    </row>
    <row r="25" ht="15" customHeight="1" s="51">
      <c r="A25" s="50" t="inlineStr">
        <is>
          <t>Bust</t>
        </is>
      </c>
      <c r="B25" s="61" t="n">
        <v>0.25</v>
      </c>
      <c r="C25" s="74" t="n">
        <v>60</v>
      </c>
      <c r="D25" s="74" t="n">
        <v>-10</v>
      </c>
      <c r="E25" s="70">
        <f>C25+D25</f>
        <v/>
      </c>
    </row>
    <row r="26" ht="15" customHeight="1" s="51">
      <c r="A26" s="59" t="inlineStr">
        <is>
          <t>Expected Value:</t>
        </is>
      </c>
      <c r="C26" s="70">
        <f>SUMPRODUCT(B23:B25,C23:C25)</f>
        <v/>
      </c>
      <c r="D26" s="70">
        <f>SUMPRODUCT(B23:B25,D23:D25)</f>
        <v/>
      </c>
      <c r="E26" s="70">
        <f>SUMPRODUCT(B23:B25,E23:E25)</f>
        <v/>
      </c>
    </row>
    <row r="27" ht="15" customHeight="1" s="51"/>
    <row r="28" ht="15" customHeight="1" s="51">
      <c r="A28" s="58" t="inlineStr">
        <is>
          <t>PAYOFFS TO CLAIMS</t>
        </is>
      </c>
    </row>
    <row r="29">
      <c r="A29" s="59" t="inlineStr">
        <is>
          <t>SENIOR CLAIM PAYOFFS:</t>
        </is>
      </c>
    </row>
    <row r="30" ht="15" customHeight="1" s="51">
      <c r="A30" s="67" t="inlineStr">
        <is>
          <t>State</t>
        </is>
      </c>
    </row>
    <row r="31" ht="15" customHeight="1" s="51">
      <c r="A31" s="50" t="inlineStr">
        <is>
          <t>Boom</t>
        </is>
      </c>
      <c r="B31" s="50">
        <f>MIN($B$18, C23)</f>
        <v/>
      </c>
      <c r="C31" s="50">
        <f>MIN($B$18, E23)</f>
        <v/>
      </c>
      <c r="D31" s="50">
        <f>C31-B31</f>
        <v/>
      </c>
    </row>
    <row r="32" ht="15" customHeight="1" s="51">
      <c r="A32" s="50" t="inlineStr">
        <is>
          <t>Base</t>
        </is>
      </c>
      <c r="B32" s="70">
        <f>MIN($B$18, C24)</f>
        <v/>
      </c>
      <c r="C32" s="70">
        <f>MIN($B$18, E24)</f>
        <v/>
      </c>
      <c r="D32" s="70">
        <f>C32-B32</f>
        <v/>
      </c>
    </row>
    <row r="33" ht="15" customHeight="1" s="51">
      <c r="A33" s="50" t="inlineStr">
        <is>
          <t>Bust</t>
        </is>
      </c>
      <c r="B33" s="70">
        <f>MIN($B$18, C25)</f>
        <v/>
      </c>
      <c r="C33" s="70">
        <f>MIN($B$18, E25)</f>
        <v/>
      </c>
      <c r="D33" s="70">
        <f>C33-B33</f>
        <v/>
      </c>
    </row>
    <row r="34" ht="15" customHeight="1" s="51">
      <c r="A34" s="59" t="inlineStr">
        <is>
          <t>Expected CF:</t>
        </is>
      </c>
      <c r="B34" s="70">
        <f>SUMPRODUCT(B23:B25,B31:B33)</f>
        <v/>
      </c>
      <c r="C34" s="70">
        <f>SUMPRODUCT(B23:B25,C31:C33)</f>
        <v/>
      </c>
      <c r="D34" s="70">
        <f>C34-B34</f>
        <v/>
      </c>
    </row>
    <row r="35" ht="15" customHeight="1" s="51">
      <c r="A35" s="59" t="inlineStr">
        <is>
          <t>PV (V_D):</t>
        </is>
      </c>
      <c r="B35" s="75">
        <f>B34/(1+$B$19)</f>
        <v/>
      </c>
      <c r="C35" s="75">
        <f>C34/(1+$B$19)</f>
        <v/>
      </c>
      <c r="D35" s="76">
        <f>C35-B35</f>
        <v/>
      </c>
      <c r="E35" s="50" t="inlineStr">
        <is>
          <t>← Value Transfer to Debt</t>
        </is>
      </c>
    </row>
    <row r="36" ht="15" customHeight="1" s="51"/>
    <row r="37">
      <c r="A37" s="59" t="inlineStr">
        <is>
          <t>EQUITY CLAIM PAYOFFS:</t>
        </is>
      </c>
    </row>
    <row r="38" ht="15" customHeight="1" s="51">
      <c r="A38" s="67" t="inlineStr">
        <is>
          <t>State</t>
        </is>
      </c>
    </row>
    <row r="39" ht="15" customHeight="1" s="51">
      <c r="A39" s="50" t="inlineStr">
        <is>
          <t>Boom</t>
        </is>
      </c>
      <c r="B39" s="50">
        <f>MAX(0, C23-B31)</f>
        <v/>
      </c>
      <c r="C39" s="50">
        <f>MAX(0, E23-C31)</f>
        <v/>
      </c>
      <c r="D39" s="50">
        <f>C39-B39</f>
        <v/>
      </c>
    </row>
    <row r="40" ht="15" customHeight="1" s="51">
      <c r="A40" s="50" t="inlineStr">
        <is>
          <t>Base</t>
        </is>
      </c>
      <c r="B40" s="70">
        <f>MAX(0, C24-B32)</f>
        <v/>
      </c>
      <c r="C40" s="70">
        <f>MAX(0, E24-C32)</f>
        <v/>
      </c>
      <c r="D40" s="70">
        <f>C40-B40</f>
        <v/>
      </c>
    </row>
    <row r="41" ht="15" customHeight="1" s="51">
      <c r="A41" s="50" t="inlineStr">
        <is>
          <t>Bust</t>
        </is>
      </c>
      <c r="B41" s="70">
        <f>MAX(0, C25-B33)</f>
        <v/>
      </c>
      <c r="C41" s="70">
        <f>MAX(0, E25-C33)</f>
        <v/>
      </c>
      <c r="D41" s="70">
        <f>C41-B41</f>
        <v/>
      </c>
    </row>
    <row r="42" ht="15" customHeight="1" s="51">
      <c r="A42" s="59" t="inlineStr">
        <is>
          <t>Expected CF:</t>
        </is>
      </c>
      <c r="B42" s="70">
        <f>SUMPRODUCT(B23:B25,B39:B41)</f>
        <v/>
      </c>
      <c r="C42" s="70">
        <f>SUMPRODUCT(B23:B25,C39:C41)</f>
        <v/>
      </c>
      <c r="D42" s="70">
        <f>C42-B42</f>
        <v/>
      </c>
    </row>
    <row r="43" ht="15" customHeight="1" s="51">
      <c r="A43" s="59" t="inlineStr">
        <is>
          <t>PV (V_E):</t>
        </is>
      </c>
      <c r="B43" s="75">
        <f>B42/(1+$B$19)</f>
        <v/>
      </c>
      <c r="C43" s="75">
        <f>C42/(1+$B$19)</f>
        <v/>
      </c>
      <c r="D43" s="70">
        <f>C43-B43</f>
        <v/>
      </c>
    </row>
    <row r="44" ht="15" customHeight="1" s="51"/>
    <row r="45">
      <c r="A45" s="58" t="inlineStr">
        <is>
          <t>C. EQUITY ISSUANCE ANALYSIS</t>
        </is>
      </c>
    </row>
    <row r="46" ht="15" customHeight="1" s="51">
      <c r="A46" s="50" t="inlineStr">
        <is>
          <t>Cash Raised (X):</t>
        </is>
      </c>
      <c r="B46" s="73">
        <f>B10</f>
        <v/>
      </c>
    </row>
    <row r="47">
      <c r="A47" s="50" t="inlineStr">
        <is>
          <t>Total Equity Value (Post):</t>
        </is>
      </c>
      <c r="B47" s="73">
        <f>C36</f>
        <v/>
      </c>
    </row>
    <row r="48" ht="15" customHeight="1" s="51">
      <c r="A48" s="50" t="inlineStr">
        <is>
          <t>Fraction to New Investors (k):</t>
        </is>
      </c>
      <c r="B48" s="69">
        <f>B39/B40</f>
        <v/>
      </c>
      <c r="C48" s="50" t="inlineStr">
        <is>
          <t>= X / V_E_post</t>
        </is>
      </c>
    </row>
    <row r="49" ht="15" customHeight="1" s="51">
      <c r="A49" s="50" t="inlineStr">
        <is>
          <t>Old Shareholders' Ownership:</t>
        </is>
      </c>
      <c r="B49" s="69">
        <f>1-B41</f>
        <v/>
      </c>
    </row>
    <row r="50" ht="15" customHeight="1" s="51">
      <c r="A50" s="50" t="inlineStr">
        <is>
          <t>Old Shareholders' Wealth (Post):</t>
        </is>
      </c>
      <c r="B50" s="70">
        <f>B42*B40</f>
        <v/>
      </c>
    </row>
    <row r="51" ht="15" customHeight="1" s="51">
      <c r="A51" s="50" t="inlineStr">
        <is>
          <t>Old Shareholders' Wealth (Pre):</t>
        </is>
      </c>
      <c r="B51" s="73">
        <f>B36</f>
        <v/>
      </c>
    </row>
    <row r="53" ht="15" customHeight="1" s="51">
      <c r="A53" s="59" t="inlineStr">
        <is>
          <t>NET GAIN/(LOSS) TO OLD SHAREHOLDERS:</t>
        </is>
      </c>
      <c r="B53" s="77">
        <f>B43-B44</f>
        <v/>
      </c>
    </row>
    <row r="54" ht="15" customHeight="1" s="51"/>
    <row r="55" ht="15" customHeight="1" s="51">
      <c r="A55" s="59" t="inlineStr">
        <is>
          <t>NPV Decomposition:</t>
        </is>
      </c>
    </row>
    <row r="56" ht="15" customHeight="1" s="51">
      <c r="A56" s="50" t="inlineStr">
        <is>
          <t>Total Project NPV (frictionless):</t>
        </is>
      </c>
      <c r="B56" s="73">
        <f>D19</f>
        <v/>
      </c>
      <c r="C56" s="50" t="inlineStr">
        <is>
          <t>← E[Project CF]</t>
        </is>
      </c>
    </row>
    <row r="57">
      <c r="A57" s="50" t="inlineStr">
        <is>
          <t>Value Transfer to Senior Debt:</t>
        </is>
      </c>
      <c r="B57" s="73">
        <f>D28</f>
        <v/>
      </c>
    </row>
    <row r="58">
      <c r="A58" s="50" t="inlineStr">
        <is>
          <t>Net NPV to Old Equity:</t>
        </is>
      </c>
      <c r="B58" s="70">
        <f>B49-B50</f>
        <v/>
      </c>
      <c r="C58" s="50" t="inlineStr">
        <is>
          <t>Should equal cell B46</t>
        </is>
      </c>
    </row>
    <row r="60">
      <c r="A60" s="59" t="inlineStr">
        <is>
          <t>INTERPRETATION:</t>
        </is>
      </c>
    </row>
    <row r="61">
      <c r="A61" s="50" t="inlineStr">
        <is>
          <t>• If Net Gain (B46) is negative, old shareholders lose even though project has positive NPV</t>
        </is>
      </c>
    </row>
    <row r="62">
      <c r="A62" s="50" t="inlineStr">
        <is>
          <t>• This happens when project payoffs in bad states disproportionately benefit senior claims</t>
        </is>
      </c>
    </row>
    <row r="63">
      <c r="A63" s="50" t="inlineStr">
        <is>
          <t>• This is the 'debt overhang' problem - equity may rationally reject +NPV projects</t>
        </is>
      </c>
    </row>
  </sheetData>
  <mergeCells count="11">
    <mergeCell ref="B3:G3"/>
    <mergeCell ref="B2:G2"/>
    <mergeCell ref="A14:G14"/>
    <mergeCell ref="A9:D9"/>
    <mergeCell ref="A1:G1"/>
    <mergeCell ref="A38:E38"/>
    <mergeCell ref="B5:G5"/>
    <mergeCell ref="A21:G21"/>
    <mergeCell ref="A22:G22"/>
    <mergeCell ref="A4:G4"/>
    <mergeCell ref="A30:G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0" min="1" max="1"/>
    <col width="15" customWidth="1" style="50" min="2" max="2"/>
    <col width="25" customWidth="1" style="50" min="3" max="4"/>
    <col width="15" customWidth="1" style="50" min="5" max="5"/>
    <col width="20" customWidth="1" style="50" min="6" max="6"/>
  </cols>
  <sheetData>
    <row r="1" ht="17.25" customHeight="1" s="51">
      <c r="A1" s="118" t="inlineStr">
        <is>
          <t>This sheet implements Archetype 3: CAPM &amp; Discount Rates</t>
        </is>
      </c>
    </row>
    <row r="2" ht="15" customHeight="1" s="51">
      <c r="A2" s="56" t="inlineStr">
        <is>
          <t>CAPM &amp; DISCOUNT RATE CALCULATOR</t>
        </is>
      </c>
    </row>
    <row r="3">
      <c r="A3" s="57" t="inlineStr">
        <is>
          <t>Unlever/relever betas and compute appropriate discount rates for projects</t>
        </is>
      </c>
    </row>
    <row r="4" ht="15" customHeight="1" s="51"/>
    <row r="5" ht="15" customHeight="1" s="51">
      <c r="A5" s="58" t="inlineStr">
        <is>
          <t>INSTRUCTIONS:</t>
        </is>
      </c>
    </row>
    <row r="6" ht="15" customHeight="1" s="51">
      <c r="A6" s="50" t="inlineStr">
        <is>
          <t>1. Enter market data (rf, MRP) and firm capital structure</t>
        </is>
      </c>
    </row>
    <row r="7" ht="15" customHeight="1" s="51">
      <c r="A7" s="50" t="inlineStr">
        <is>
          <t>2. Enter equity beta (Equity Beta) and debt beta (Debt Beta) if available</t>
        </is>
      </c>
    </row>
    <row r="8" ht="15" customHeight="1" s="51">
      <c r="A8" s="50" t="inlineStr">
        <is>
          <t>3. Template calculates asset beta (Asset Beta) and all costs of capital</t>
        </is>
      </c>
    </row>
    <row r="9">
      <c r="A9" s="50" t="inlineStr">
        <is>
          <t>4. Use 'Project Specific' section for projects with different risk</t>
        </is>
      </c>
    </row>
    <row r="10" ht="15" customHeight="1" s="51"/>
    <row r="11" ht="15" customHeight="1" s="51">
      <c r="A11" s="58" t="inlineStr">
        <is>
          <t>A. MARKET INPUTS</t>
        </is>
      </c>
      <c r="D11" s="58" t="inlineStr">
        <is>
          <t>B. FIRM INPUTS</t>
        </is>
      </c>
    </row>
    <row r="12" ht="15" customHeight="1" s="51">
      <c r="A12" s="50" t="inlineStr">
        <is>
          <t>Risk-Free Rate (rf):</t>
        </is>
      </c>
      <c r="B12" s="61" t="n">
        <v>0.03</v>
      </c>
      <c r="D12" s="50" t="inlineStr">
        <is>
          <t>Market Value Debt (D):</t>
        </is>
      </c>
      <c r="E12" s="74" t="n">
        <v>200</v>
      </c>
      <c r="F12" s="50" t="inlineStr">
        <is>
          <t>$ millions</t>
        </is>
      </c>
    </row>
    <row r="13" ht="15" customHeight="1" s="51">
      <c r="A13" s="50" t="inlineStr">
        <is>
          <t>Market Risk Premium (MRP):</t>
        </is>
      </c>
      <c r="B13" s="61" t="n">
        <v>0.07000000000000001</v>
      </c>
      <c r="C13" s="50" t="inlineStr">
        <is>
          <t>E[r_M] - rf</t>
        </is>
      </c>
      <c r="D13" s="50" t="inlineStr">
        <is>
          <t>Market Value Equity (E):</t>
        </is>
      </c>
      <c r="E13" s="74" t="n">
        <v>300</v>
      </c>
      <c r="F13" s="50" t="inlineStr">
        <is>
          <t>$ millions</t>
        </is>
      </c>
    </row>
    <row r="14" ht="15" customHeight="1" s="51">
      <c r="D14" s="50" t="inlineStr">
        <is>
          <t>Equity Beta (Equity Beta):</t>
        </is>
      </c>
      <c r="E14" s="78" t="n">
        <v>1.2</v>
      </c>
    </row>
    <row r="15" ht="15" customHeight="1" s="51">
      <c r="D15" s="50" t="inlineStr">
        <is>
          <t>Debt Beta (Debt Beta):</t>
        </is>
      </c>
      <c r="E15" s="78" t="n">
        <v>0.1</v>
      </c>
      <c r="F15" s="50" t="inlineStr">
        <is>
          <t>(0 if risk-free)</t>
        </is>
      </c>
    </row>
    <row r="16">
      <c r="D16" s="50" t="inlineStr">
        <is>
          <t>Tax Rate (Tax Rate):</t>
        </is>
      </c>
      <c r="E16" s="61" t="n">
        <v>0.21</v>
      </c>
    </row>
    <row r="17" ht="15" customHeight="1" s="51"/>
    <row r="18" ht="15" customHeight="1" s="51">
      <c r="A18" s="58" t="inlineStr">
        <is>
          <t>C. WEIGHTS AND BETA CALCULATIONS</t>
        </is>
      </c>
    </row>
    <row r="19" ht="15" customHeight="1" s="51">
      <c r="A19" s="50" t="inlineStr">
        <is>
          <t>Total Value (V):</t>
        </is>
      </c>
      <c r="B19" s="70">
        <f>E12+E13</f>
        <v/>
      </c>
    </row>
    <row r="20">
      <c r="A20" s="50" t="inlineStr">
        <is>
          <t>Weight Debt (D/V):</t>
        </is>
      </c>
      <c r="B20" s="69">
        <f>E12/B19</f>
        <v/>
      </c>
      <c r="D20" s="50" t="inlineStr">
        <is>
          <t>Weight Equity (E/V):</t>
        </is>
      </c>
      <c r="E20" s="69">
        <f>E13/B19</f>
        <v/>
      </c>
    </row>
    <row r="21" ht="15" customHeight="1" s="51"/>
    <row r="22">
      <c r="A22" s="59" t="inlineStr">
        <is>
          <t>ASSET BETA (Asset Beta) - UNLEVERED:</t>
        </is>
      </c>
      <c r="B22" s="79">
        <f>B20*E15 + E20*E14</f>
        <v/>
      </c>
    </row>
    <row r="23" ht="15" customHeight="1" s="51"/>
    <row r="24" ht="15" customHeight="1" s="51">
      <c r="A24" s="58" t="inlineStr">
        <is>
          <t>D. COST OF CAPITAL (CAPM)</t>
        </is>
      </c>
    </row>
    <row r="25" ht="15" customHeight="1" s="51">
      <c r="A25" s="50" t="inlineStr">
        <is>
          <t>Cost of Equity (rE):</t>
        </is>
      </c>
      <c r="B25" s="65">
        <f>B12 + E14*B13</f>
        <v/>
      </c>
      <c r="D25" s="50" t="inlineStr">
        <is>
          <t>Use for equity cash flows</t>
        </is>
      </c>
    </row>
    <row r="26" ht="15" customHeight="1" s="51">
      <c r="A26" s="50" t="inlineStr">
        <is>
          <t>Cost of Debt (rD):</t>
        </is>
      </c>
      <c r="B26" s="65">
        <f>B12 + E15*B13</f>
        <v/>
      </c>
    </row>
    <row r="27">
      <c r="A27" s="59" t="inlineStr">
        <is>
          <t>ASSET COST OF CAPITAL (rA):</t>
        </is>
      </c>
      <c r="B27" s="80">
        <f>B12 + B22*B13</f>
        <v/>
      </c>
      <c r="D27" s="50" t="inlineStr">
        <is>
          <t>Use for avg-risk projects</t>
        </is>
      </c>
    </row>
    <row r="28" ht="15" customHeight="1" s="51"/>
    <row r="29">
      <c r="A29" s="50" t="inlineStr">
        <is>
          <t>WACC (After-Tax):</t>
        </is>
      </c>
      <c r="B29" s="65">
        <f>E20*B25 + B20*B26*(1-E16)</f>
        <v/>
      </c>
    </row>
    <row r="30" ht="15" customHeight="1" s="51"/>
    <row r="31" ht="15" customHeight="1" s="51">
      <c r="A31" s="58" t="inlineStr">
        <is>
          <t>E. PROJECT-SPECIFIC CALCULATOR</t>
        </is>
      </c>
    </row>
    <row r="32" ht="15" customHeight="1" s="51">
      <c r="A32" s="50" t="inlineStr">
        <is>
          <t>Project Beta (Project Beta):</t>
        </is>
      </c>
      <c r="B32" s="78" t="n">
        <v>1.5</v>
      </c>
      <c r="C32" s="50" t="inlineStr">
        <is>
          <t>Enter project-specific beta</t>
        </is>
      </c>
    </row>
    <row r="33">
      <c r="A33" s="50" t="inlineStr">
        <is>
          <t>Project Discount Rate:</t>
        </is>
      </c>
      <c r="B33" s="80">
        <f>B12 + B32*B13</f>
        <v/>
      </c>
    </row>
    <row r="34" ht="15" customHeight="1" s="51"/>
    <row r="35" ht="15" customHeight="1" s="51">
      <c r="A35" s="58" t="inlineStr">
        <is>
          <t>F. RELEVERING CALCULATOR (Change Capital Structure)</t>
        </is>
      </c>
    </row>
    <row r="36" ht="15" customHeight="1" s="51">
      <c r="A36" s="50" t="inlineStr">
        <is>
          <t>New Debt-to-Equity Ratio (D/E):</t>
        </is>
      </c>
      <c r="B36" s="81" t="n">
        <v>1</v>
      </c>
      <c r="C36" s="50" t="inlineStr">
        <is>
          <t>Enter target D/E</t>
        </is>
      </c>
    </row>
    <row r="37" ht="15" customHeight="1" s="51">
      <c r="A37" s="50" t="inlineStr">
        <is>
          <t>New Equity Beta (Equity Beta_new):</t>
        </is>
      </c>
      <c r="B37" s="79">
        <f>B22*(1 + (1-E16)*B36)</f>
        <v/>
      </c>
    </row>
    <row r="38">
      <c r="A38" s="50" t="inlineStr">
        <is>
          <t>New Cost of Equity (rE_new):</t>
        </is>
      </c>
      <c r="B38" s="65">
        <f>B12 + B37*B13</f>
        <v/>
      </c>
      <c r="C38" s="50" t="inlineStr">
        <is>
          <t>Higher leverage → higher rE</t>
        </is>
      </c>
    </row>
    <row r="39" ht="15" customHeight="1" s="51"/>
    <row r="40" ht="15" customHeight="1" s="51">
      <c r="A40" s="59" t="inlineStr">
        <is>
          <t>KEY INSIGHTS:</t>
        </is>
      </c>
    </row>
    <row r="41" ht="15" customHeight="1" s="51">
      <c r="A41" s="50" t="inlineStr">
        <is>
          <t>• Use rA (asset cost of capital) for projects with same risk as existing operations</t>
        </is>
      </c>
    </row>
    <row r="42" ht="15" customHeight="1" s="51">
      <c r="A42" s="50" t="inlineStr">
        <is>
          <t>• Use rE only for valuing equity cash flows (dividends, FCFE), not project cash flows</t>
        </is>
      </c>
    </row>
    <row r="43" ht="15" customHeight="1" s="51">
      <c r="A43" s="50" t="inlineStr">
        <is>
          <t>• Changing leverage affects Equity Beta and rE but leaves Asset Beta and rA unchanged</t>
        </is>
      </c>
    </row>
    <row r="44">
      <c r="A44" s="50" t="inlineStr">
        <is>
          <t>• For projects with different risk, estimate project-specific beta</t>
        </is>
      </c>
    </row>
  </sheetData>
  <mergeCells count="8">
    <mergeCell ref="A30:E30"/>
    <mergeCell ref="A34:E34"/>
    <mergeCell ref="A4:E4"/>
    <mergeCell ref="D10:E10"/>
    <mergeCell ref="A1:F1"/>
    <mergeCell ref="A10:B10"/>
    <mergeCell ref="A23:E23"/>
    <mergeCell ref="A17:E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50" min="1" max="1"/>
    <col width="15" customWidth="1" style="50" min="2" max="2"/>
    <col width="18" customWidth="1" style="50" min="3" max="4"/>
    <col width="15" customWidth="1" style="50" min="5" max="5"/>
    <col width="35" customWidth="1" style="50" min="6" max="6"/>
  </cols>
  <sheetData>
    <row r="1" ht="17.25" customHeight="1" s="51">
      <c r="A1" s="118" t="inlineStr">
        <is>
          <t>This sheet implements Archetype 4: Distress, Priority, Hybrids, Risk-Shifting</t>
        </is>
      </c>
    </row>
    <row r="2" ht="15" customHeight="1" s="51">
      <c r="A2" s="116" t="inlineStr">
        <is>
          <t>📌 EXAM QUICK REFERENCE</t>
        </is>
      </c>
    </row>
    <row r="3">
      <c r="B3" s="117" t="inlineStr">
        <is>
          <t>• Multi-tranche debt waterfall and priority questions</t>
        </is>
      </c>
    </row>
    <row r="4" ht="15" customHeight="1" s="51"/>
    <row r="5" ht="15" customHeight="1" s="51"/>
    <row r="6" ht="15" customHeight="1" s="51">
      <c r="B6" s="117" t="inlineStr">
        <is>
          <t>• Asset substitution problems</t>
        </is>
      </c>
    </row>
    <row r="7" ht="15" customHeight="1" s="51"/>
    <row r="8">
      <c r="A8" s="56" t="inlineStr">
        <is>
          <t>DISTRESS, RISK-SHIFTING &amp; HYBRID SECURITIES</t>
        </is>
      </c>
    </row>
    <row r="9" ht="15" customHeight="1" s="51">
      <c r="A9" s="57" t="inlineStr">
        <is>
          <t>Visualizes payoff waterfalls and risk-shifting incentives across capital structures</t>
        </is>
      </c>
    </row>
    <row r="10" ht="15" customHeight="1" s="51"/>
    <row r="11" ht="15" customHeight="1" s="51">
      <c r="A11" s="58" t="inlineStr">
        <is>
          <t>INSTRUCTIONS:</t>
        </is>
      </c>
    </row>
    <row r="12" ht="15" customHeight="1" s="51">
      <c r="A12" s="50" t="inlineStr">
        <is>
          <t>1. Enter face values for senior/junior debt</t>
        </is>
      </c>
    </row>
    <row r="13">
      <c r="A13" s="50" t="inlineStr">
        <is>
          <t>2. Template shows payoffs across firm value range</t>
        </is>
      </c>
    </row>
    <row r="14" ht="15" customHeight="1" s="51">
      <c r="A14" s="50" t="inlineStr">
        <is>
          <t>3. Risk-shifting section shows equity's project preference</t>
        </is>
      </c>
    </row>
    <row r="15" ht="15" customHeight="1" s="51"/>
    <row r="16" ht="15" customHeight="1" s="51">
      <c r="A16" s="58" t="inlineStr">
        <is>
          <t>A. CAPITAL STRUCTURE INPUTS</t>
        </is>
      </c>
    </row>
    <row r="17" ht="15" customHeight="1" s="51">
      <c r="A17" s="50" t="inlineStr">
        <is>
          <t>Senior Debt Face Value (D_Sr):</t>
        </is>
      </c>
      <c r="B17" s="74" t="n">
        <v>60</v>
      </c>
      <c r="C17" s="50" t="inlineStr">
        <is>
          <t>$ millions</t>
        </is>
      </c>
    </row>
    <row r="18" ht="15" customHeight="1" s="51">
      <c r="A18" s="50" t="inlineStr">
        <is>
          <t>Junior Debt Face Value (D_Jr):</t>
        </is>
      </c>
      <c r="B18" s="74" t="n">
        <v>40</v>
      </c>
      <c r="C18" s="50" t="inlineStr">
        <is>
          <t>$ millions</t>
        </is>
      </c>
    </row>
    <row r="19" ht="15" customHeight="1" s="51">
      <c r="A19" s="50" t="inlineStr">
        <is>
          <t>Total Debt:</t>
        </is>
      </c>
      <c r="B19" s="76">
        <f>B17+B18</f>
        <v/>
      </c>
    </row>
    <row r="20" ht="15" customHeight="1" s="51"/>
    <row r="21" ht="15" customHeight="1" s="51">
      <c r="A21" s="58" t="inlineStr">
        <is>
          <t>B. PAYOFF WATERFALL TABLE</t>
        </is>
      </c>
    </row>
    <row r="22" ht="15" customHeight="1" s="51">
      <c r="A22" s="67" t="inlineStr">
        <is>
          <t>Asset Value (V)</t>
        </is>
      </c>
      <c r="B22" s="67" t="inlineStr">
        <is>
          <t>Senior Payoff</t>
        </is>
      </c>
      <c r="C22" s="67" t="inlineStr">
        <is>
          <t>Junior Payoff</t>
        </is>
      </c>
      <c r="D22" s="67" t="inlineStr">
        <is>
          <t>Equity Payoff</t>
        </is>
      </c>
      <c r="E22" s="67" t="inlineStr">
        <is>
          <t>Total Check</t>
        </is>
      </c>
    </row>
    <row r="23" ht="15" customHeight="1" s="51">
      <c r="A23" s="74" t="n">
        <v>0</v>
      </c>
      <c r="B23" s="70">
        <f>MIN($B$17, A23)</f>
        <v/>
      </c>
      <c r="C23" s="70">
        <f>MIN($B$18, MAX(0, A23-B23))</f>
        <v/>
      </c>
      <c r="D23" s="70">
        <f>MAX(0, A23-B23-C23)</f>
        <v/>
      </c>
      <c r="E23" s="70">
        <f>B23+C23+D23</f>
        <v/>
      </c>
      <c r="F23" s="50" t="inlineStr">
        <is>
          <t>← V=0: Everything to senior</t>
        </is>
      </c>
    </row>
    <row r="24">
      <c r="A24" s="74" t="n">
        <v>30</v>
      </c>
      <c r="B24" s="70">
        <f>MIN($B$17, A24)</f>
        <v/>
      </c>
      <c r="C24" s="70">
        <f>MIN($B$18, MAX(0, A24-B24))</f>
        <v/>
      </c>
      <c r="D24" s="70">
        <f>MAX(0, A24-B24-C24)</f>
        <v/>
      </c>
      <c r="E24" s="70">
        <f>B24+C24+D24</f>
        <v/>
      </c>
    </row>
    <row r="25">
      <c r="A25" s="74" t="n">
        <v>60</v>
      </c>
      <c r="B25" s="70">
        <f>MIN($B$17, A25)</f>
        <v/>
      </c>
      <c r="C25" s="70">
        <f>MIN($B$18, MAX(0, A25-B25))</f>
        <v/>
      </c>
      <c r="D25" s="70">
        <f>MAX(0, A25-B25-C25)</f>
        <v/>
      </c>
      <c r="E25" s="70">
        <f>B25+C25+D25</f>
        <v/>
      </c>
      <c r="F25" s="50" t="inlineStr">
        <is>
          <t>← V=60: Senior fully paid</t>
        </is>
      </c>
    </row>
    <row r="26" ht="15" customHeight="1" s="51">
      <c r="A26" s="74" t="n">
        <v>80</v>
      </c>
      <c r="B26" s="50">
        <f>MIN($B$17, A26)</f>
        <v/>
      </c>
      <c r="C26" s="50">
        <f>MIN($B$18, MAX(0, A26-B26))</f>
        <v/>
      </c>
      <c r="D26" s="50">
        <f>MAX(0, A26-B26-C26)</f>
        <v/>
      </c>
      <c r="E26" s="50">
        <f>B26+C26+D26</f>
        <v/>
      </c>
    </row>
    <row r="27" ht="15" customHeight="1" s="51">
      <c r="A27" s="74" t="n">
        <v>100</v>
      </c>
      <c r="B27" s="50">
        <f>MIN($B$17, A27)</f>
        <v/>
      </c>
      <c r="C27" s="50">
        <f>MIN($B$18, MAX(0, A27-B27))</f>
        <v/>
      </c>
      <c r="D27" s="50">
        <f>MAX(0, A27-B27-C27)</f>
        <v/>
      </c>
      <c r="E27" s="50">
        <f>B27+C27+D27</f>
        <v/>
      </c>
    </row>
    <row r="28">
      <c r="A28" s="74" t="n">
        <v>120</v>
      </c>
      <c r="B28" s="70">
        <f>MIN($B$17, A28)</f>
        <v/>
      </c>
      <c r="C28" s="70">
        <f>MIN($B$18, MAX(0, A28-B28))</f>
        <v/>
      </c>
      <c r="D28" s="70">
        <f>MAX(0, A28-B28-C28)</f>
        <v/>
      </c>
      <c r="E28" s="70">
        <f>B28+C28+D28</f>
        <v/>
      </c>
      <c r="F28" s="50" t="inlineStr">
        <is>
          <t>← Equity starts getting paid</t>
        </is>
      </c>
    </row>
    <row r="29" ht="15" customHeight="1" s="51">
      <c r="A29" s="74" t="n">
        <v>150</v>
      </c>
      <c r="B29" s="70">
        <f>MIN($B$17, A29)</f>
        <v/>
      </c>
      <c r="C29" s="70">
        <f>MIN($B$18, MAX(0, A29-B29))</f>
        <v/>
      </c>
      <c r="D29" s="70">
        <f>MAX(0, A29-B29-C29)</f>
        <v/>
      </c>
      <c r="E29" s="70">
        <f>B29+C29+D29</f>
        <v/>
      </c>
    </row>
    <row r="30" ht="15" customHeight="1" s="51">
      <c r="A30" s="74" t="n">
        <v>200</v>
      </c>
      <c r="B30" s="70">
        <f>MIN($B$17, A30)</f>
        <v/>
      </c>
      <c r="C30" s="70">
        <f>MIN($B$18, MAX(0, A30-B30))</f>
        <v/>
      </c>
      <c r="D30" s="70">
        <f>MAX(0, A30-B30-C30)</f>
        <v/>
      </c>
      <c r="E30" s="70">
        <f>B30+C30+D30</f>
        <v/>
      </c>
    </row>
    <row r="31" ht="15" customHeight="1" s="51"/>
    <row r="32" ht="15" customHeight="1" s="51"/>
    <row r="33" ht="15" customHeight="1" s="51">
      <c r="A33" s="58" t="inlineStr">
        <is>
          <t>D. RISK-SHIFTING (ASSET SUBSTITUTION) ANALYSIS</t>
        </is>
      </c>
    </row>
    <row r="34" ht="15" customHeight="1" s="51">
      <c r="A34" s="50" t="inlineStr">
        <is>
          <t>Compare two projects with same cost but different risk profiles:</t>
        </is>
      </c>
    </row>
    <row r="36" ht="15" customHeight="1" s="51">
      <c r="A36" s="59" t="inlineStr">
        <is>
          <t>PROJECT SAFE (Low Risk):</t>
        </is>
      </c>
    </row>
    <row r="37" ht="15" customHeight="1" s="51">
      <c r="A37" s="82" t="inlineStr">
        <is>
          <t>State</t>
        </is>
      </c>
      <c r="B37" s="82" t="inlineStr">
        <is>
          <t>Probability</t>
        </is>
      </c>
      <c r="C37" s="82" t="inlineStr">
        <is>
          <t>Firm Value</t>
        </is>
      </c>
      <c r="D37" s="82" t="inlineStr">
        <is>
          <t>Equity Payoff</t>
        </is>
      </c>
    </row>
    <row r="38" ht="15" customHeight="1" s="51">
      <c r="A38" s="50" t="inlineStr">
        <is>
          <t>Good</t>
        </is>
      </c>
      <c r="B38" s="61" t="n">
        <v>0.5</v>
      </c>
      <c r="C38" s="74" t="n">
        <v>140</v>
      </c>
      <c r="D38" s="70">
        <f>MAX(0, C38-$B$19)</f>
        <v/>
      </c>
    </row>
    <row r="39" ht="15" customHeight="1" s="51">
      <c r="A39" s="50" t="inlineStr">
        <is>
          <t>Bad</t>
        </is>
      </c>
      <c r="B39" s="61" t="n">
        <v>0.5</v>
      </c>
      <c r="C39" s="74" t="n">
        <v>120</v>
      </c>
      <c r="D39" s="70">
        <f>MAX(0, C39-$B$19)</f>
        <v/>
      </c>
    </row>
    <row r="40" ht="15" customHeight="1" s="51">
      <c r="A40" s="50" t="inlineStr">
        <is>
          <t>Expected Firm Value:</t>
        </is>
      </c>
      <c r="C40" s="76">
        <f>SUMPRODUCT(B38:B39,C38:C39)</f>
        <v/>
      </c>
    </row>
    <row r="41" ht="15" customHeight="1" s="51">
      <c r="A41" s="50" t="inlineStr">
        <is>
          <t>Expected Equity Payoff:</t>
        </is>
      </c>
      <c r="D41" s="72">
        <f>SUMPRODUCT(B38:B39,D38:D39)</f>
        <v/>
      </c>
    </row>
    <row r="43" ht="15" customHeight="1" s="51">
      <c r="A43" s="59" t="inlineStr">
        <is>
          <t>PROJECT RISKY (High Risk):</t>
        </is>
      </c>
    </row>
    <row r="44" ht="15" customHeight="1" s="51">
      <c r="A44" s="82" t="inlineStr">
        <is>
          <t>State</t>
        </is>
      </c>
      <c r="B44" s="82" t="inlineStr">
        <is>
          <t>Probability</t>
        </is>
      </c>
      <c r="C44" s="82" t="inlineStr">
        <is>
          <t>Firm Value</t>
        </is>
      </c>
      <c r="D44" s="82" t="inlineStr">
        <is>
          <t>Equity Payoff</t>
        </is>
      </c>
    </row>
    <row r="45" ht="15" customHeight="1" s="51">
      <c r="A45" s="50" t="inlineStr">
        <is>
          <t>Boom</t>
        </is>
      </c>
      <c r="B45" s="61" t="n">
        <v>0.5</v>
      </c>
      <c r="C45" s="74" t="n">
        <v>180</v>
      </c>
      <c r="D45" s="70">
        <f>MAX(0, C45-$B$19)</f>
        <v/>
      </c>
    </row>
    <row r="46">
      <c r="A46" s="50" t="inlineStr">
        <is>
          <t>Bust</t>
        </is>
      </c>
      <c r="B46" s="61" t="n">
        <v>0.5</v>
      </c>
      <c r="C46" s="74" t="n">
        <v>80</v>
      </c>
      <c r="D46" s="70">
        <f>MAX(0, C46-$B$19)</f>
        <v/>
      </c>
    </row>
    <row r="47" ht="15" customHeight="1" s="51">
      <c r="A47" s="50" t="inlineStr">
        <is>
          <t>Expected Firm Value:</t>
        </is>
      </c>
      <c r="C47" s="76">
        <f>SUMPRODUCT(B45:B46,C45:C46)</f>
        <v/>
      </c>
    </row>
    <row r="48" ht="15" customHeight="1" s="51">
      <c r="A48" s="50" t="inlineStr">
        <is>
          <t>Expected Equity Payoff:</t>
        </is>
      </c>
      <c r="D48" s="72">
        <f>SUMPRODUCT(B45:B46,D45:D46)</f>
        <v/>
      </c>
    </row>
    <row r="49" ht="15" customHeight="1" s="51"/>
    <row r="50" ht="15" customHeight="1" s="51">
      <c r="A50" s="59" t="inlineStr">
        <is>
          <t>COMPARISON:</t>
        </is>
      </c>
    </row>
    <row r="51" ht="15" customHeight="1" s="51">
      <c r="A51" s="50" t="inlineStr">
        <is>
          <t>Firm Value Difference (Risky - Safe):</t>
        </is>
      </c>
      <c r="C51" s="70">
        <f>C47-C40</f>
        <v/>
      </c>
    </row>
    <row r="52">
      <c r="A52" s="50" t="inlineStr">
        <is>
          <t>Equity Payoff Difference (Risky - Safe):</t>
        </is>
      </c>
      <c r="D52" s="72">
        <f>D48-D41</f>
        <v/>
      </c>
    </row>
    <row r="54">
      <c r="A54" s="59" t="inlineStr">
        <is>
          <t>INTERPRETATION:</t>
        </is>
      </c>
    </row>
    <row r="55">
      <c r="A55" s="50" t="inlineStr">
        <is>
          <t>• If D45 &gt; 0: Equity prefers RISKY project (risk-shifting incentive)</t>
        </is>
      </c>
    </row>
    <row r="56">
      <c r="A56" s="50" t="inlineStr">
        <is>
          <t>• This happens even if risky project has LOWER firm value (C44 &lt; 0)</t>
        </is>
      </c>
    </row>
    <row r="57">
      <c r="A57" s="50" t="inlineStr">
        <is>
          <t>• Reason: Limited liability + leverage = equity benefits from volatility</t>
        </is>
      </c>
    </row>
    <row r="58">
      <c r="A58" s="50" t="inlineStr">
        <is>
          <t>• Debtholders bear the downside risk while equity captures upside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15" customWidth="1" style="51" min="2" max="2"/>
  </cols>
  <sheetData>
    <row r="1">
      <c r="A1" s="118" t="inlineStr">
        <is>
          <t>This sheet implements Archetype 5: Pricing Multiples &amp; Growth</t>
        </is>
      </c>
    </row>
    <row r="2">
      <c r="A2" s="56" t="inlineStr">
        <is>
          <t>PRICING MULTIPLES &amp; GROWTH</t>
        </is>
      </c>
    </row>
    <row r="3">
      <c r="A3" s="57" t="inlineStr">
        <is>
          <t>Links growth rates and discount rates to valuation multiples (P/CF, P/E)</t>
        </is>
      </c>
    </row>
    <row r="5">
      <c r="A5" s="58" t="inlineStr">
        <is>
          <t>INSTRUCTIONS:</t>
        </is>
      </c>
    </row>
    <row r="6">
      <c r="A6" s="50" t="inlineStr">
        <is>
          <t>1. Enter discount rate (r) and growth rate (g)</t>
        </is>
      </c>
    </row>
    <row r="7">
      <c r="A7" s="50" t="inlineStr">
        <is>
          <t>2. Template calculates implied P/CF multiple</t>
        </is>
      </c>
    </row>
    <row r="8">
      <c r="A8" s="50" t="inlineStr">
        <is>
          <t>3. Multi-stage section shows how multiples evolve over time</t>
        </is>
      </c>
    </row>
    <row r="10">
      <c r="A10" s="58" t="inlineStr">
        <is>
          <t>A. GORDON GROWTH MODEL (Perpetuity)</t>
        </is>
      </c>
    </row>
    <row r="11">
      <c r="A11" s="50" t="inlineStr">
        <is>
          <t>Discount Rate (r):</t>
        </is>
      </c>
      <c r="B11" s="61" t="n">
        <v>0.12</v>
      </c>
    </row>
    <row r="12">
      <c r="A12" s="50" t="inlineStr">
        <is>
          <t>Long-Term Growth Rate (g):</t>
        </is>
      </c>
      <c r="B12" s="61" t="n">
        <v>0.04</v>
      </c>
      <c r="C12" s="50" t="inlineStr">
        <is>
          <t>Must be &lt; r</t>
        </is>
      </c>
    </row>
    <row r="14">
      <c r="A14" s="50" t="inlineStr">
        <is>
          <t>P / CF_next (Forward Multiple):</t>
        </is>
      </c>
      <c r="B14" s="83">
        <f>1/(B11-B12)</f>
        <v/>
      </c>
    </row>
    <row r="15">
      <c r="A15" s="50" t="inlineStr">
        <is>
          <t>P / CF_current (Trailing Multiple):</t>
        </is>
      </c>
      <c r="B15" s="84">
        <f>(1+B12)/(B11-B12)</f>
        <v/>
      </c>
    </row>
    <row r="17">
      <c r="A17" s="59" t="inlineStr">
        <is>
          <t>SENSITIVITY ANALYSIS:</t>
        </is>
      </c>
    </row>
    <row r="18">
      <c r="A18" s="50" t="inlineStr">
        <is>
          <t>Shows P/CF_next for different g and r combinations</t>
        </is>
      </c>
    </row>
    <row r="20">
      <c r="B20" s="59" t="inlineStr">
        <is>
          <t>Growth (g) →</t>
        </is>
      </c>
      <c r="C20" s="85" t="n">
        <v>0.02</v>
      </c>
      <c r="D20" s="85" t="n">
        <v>0.03</v>
      </c>
      <c r="E20" s="85" t="n">
        <v>0.04</v>
      </c>
      <c r="F20" s="85" t="n">
        <v>0.05</v>
      </c>
      <c r="G20" s="85" t="n">
        <v>0.06</v>
      </c>
    </row>
    <row r="21">
      <c r="A21" s="59" t="inlineStr">
        <is>
          <t>Discount Rate (r) ↓</t>
        </is>
      </c>
    </row>
    <row r="22">
      <c r="A22" s="85" t="n">
        <v>0.09</v>
      </c>
      <c r="C22" s="86">
        <f>1/(A22-C20)</f>
        <v/>
      </c>
      <c r="D22" s="86">
        <f>1/(A22-D20)</f>
        <v/>
      </c>
      <c r="E22" s="86">
        <f>1/(A22-E20)</f>
        <v/>
      </c>
      <c r="F22" s="86">
        <f>1/(A22-F20)</f>
        <v/>
      </c>
      <c r="G22" s="86">
        <f>1/(A22-G20)</f>
        <v/>
      </c>
    </row>
    <row r="23">
      <c r="A23" s="85" t="n">
        <v>0.1</v>
      </c>
      <c r="C23" s="86">
        <f>1/(A23-C20)</f>
        <v/>
      </c>
      <c r="D23" s="86">
        <f>1/(A23-D20)</f>
        <v/>
      </c>
      <c r="E23" s="86">
        <f>1/(A23-E20)</f>
        <v/>
      </c>
      <c r="F23" s="86">
        <f>1/(A23-F20)</f>
        <v/>
      </c>
      <c r="G23" s="86">
        <f>1/(A23-G20)</f>
        <v/>
      </c>
    </row>
    <row r="24">
      <c r="A24" s="85" t="n">
        <v>0.11</v>
      </c>
      <c r="C24" s="86">
        <f>1/(A24-C20)</f>
        <v/>
      </c>
      <c r="D24" s="86">
        <f>1/(A24-D20)</f>
        <v/>
      </c>
      <c r="E24" s="86">
        <f>1/(A24-E20)</f>
        <v/>
      </c>
      <c r="F24" s="86">
        <f>1/(A24-F20)</f>
        <v/>
      </c>
      <c r="G24" s="86">
        <f>1/(A24-G20)</f>
        <v/>
      </c>
    </row>
    <row r="25">
      <c r="A25" s="85" t="n">
        <v>0.12</v>
      </c>
      <c r="C25" s="86">
        <f>1/(A25-C20)</f>
        <v/>
      </c>
      <c r="D25" s="86">
        <f>1/(A25-D20)</f>
        <v/>
      </c>
      <c r="E25" s="86">
        <f>1/(A25-E20)</f>
        <v/>
      </c>
      <c r="F25" s="86">
        <f>1/(A25-F20)</f>
        <v/>
      </c>
      <c r="G25" s="86">
        <f>1/(A25-G20)</f>
        <v/>
      </c>
    </row>
    <row r="26">
      <c r="A26" s="85" t="n">
        <v>0.13</v>
      </c>
      <c r="C26" s="86">
        <f>1/(A26-C20)</f>
        <v/>
      </c>
      <c r="D26" s="86">
        <f>1/(A26-D20)</f>
        <v/>
      </c>
      <c r="E26" s="86">
        <f>1/(A26-E20)</f>
        <v/>
      </c>
      <c r="F26" s="86">
        <f>1/(A26-F20)</f>
        <v/>
      </c>
      <c r="G26" s="86">
        <f>1/(A26-G20)</f>
        <v/>
      </c>
    </row>
    <row r="29">
      <c r="A29" s="58" t="inlineStr">
        <is>
          <t>B. MULTI-STAGE GROWTH &amp; MULTIPLE EVOLUTION</t>
        </is>
      </c>
    </row>
    <row r="30">
      <c r="A30" s="50" t="inlineStr">
        <is>
          <t>Shows how P/CF multiple naturally declines as high growth phase ends</t>
        </is>
      </c>
    </row>
    <row r="32">
      <c r="A32" s="50" t="inlineStr">
        <is>
          <t>Current Cash Flow (CF_0):</t>
        </is>
      </c>
      <c r="B32" s="74" t="n">
        <v>10</v>
      </c>
      <c r="C32" s="50" t="inlineStr">
        <is>
          <t>$ millions</t>
        </is>
      </c>
    </row>
    <row r="33">
      <c r="A33" s="50" t="inlineStr">
        <is>
          <t>High Growth Rate (g_H):</t>
        </is>
      </c>
      <c r="B33" s="61" t="n">
        <v>0.2</v>
      </c>
      <c r="C33" s="50" t="inlineStr">
        <is>
          <t>Years 1-5</t>
        </is>
      </c>
    </row>
    <row r="34">
      <c r="A34" s="50" t="inlineStr">
        <is>
          <t>Mature Growth Rate (g_L):</t>
        </is>
      </c>
      <c r="B34" s="61" t="n">
        <v>0.04</v>
      </c>
      <c r="C34" s="50" t="inlineStr">
        <is>
          <t>Year 6+</t>
        </is>
      </c>
    </row>
    <row r="35">
      <c r="A35" s="50" t="inlineStr">
        <is>
          <t>Discount Rate (r):</t>
        </is>
      </c>
      <c r="B35" s="61" t="n">
        <v>0.12</v>
      </c>
      <c r="H35" s="134" t="inlineStr">
        <is>
          <t>Helper Columns: Show Two-Stage DCF Calculation Step-by-Step</t>
        </is>
      </c>
    </row>
    <row r="37">
      <c r="A37" s="82" t="inlineStr">
        <is>
          <t>Year</t>
        </is>
      </c>
      <c r="B37" s="82" t="inlineStr">
        <is>
          <t>Cash Flow</t>
        </is>
      </c>
      <c r="C37" s="82" t="inlineStr">
        <is>
          <t>PV Factor</t>
        </is>
      </c>
      <c r="D37" s="82" t="inlineStr">
        <is>
          <t>PV(CF)</t>
        </is>
      </c>
      <c r="E37" s="82" t="inlineStr">
        <is>
          <t>Price_t</t>
        </is>
      </c>
      <c r="F37" s="82" t="inlineStr">
        <is>
          <t>P/CF_next</t>
        </is>
      </c>
      <c r="H37" s="135" t="inlineStr">
        <is>
          <t>Yrs to Mature</t>
        </is>
      </c>
      <c r="I37" s="135" t="inlineStr">
        <is>
          <t>PV(CF_t+1)</t>
        </is>
      </c>
      <c r="J37" s="135" t="inlineStr">
        <is>
          <t>PV(CF_t+2)</t>
        </is>
      </c>
      <c r="K37" s="135" t="inlineStr">
        <is>
          <t>PV(CF_t+3)</t>
        </is>
      </c>
      <c r="L37" s="135" t="inlineStr">
        <is>
          <t>PV(CF_t+4)</t>
        </is>
      </c>
      <c r="M37" s="135" t="inlineStr">
        <is>
          <t>PV(CF_t+5)</t>
        </is>
      </c>
      <c r="N37" s="135" t="inlineStr">
        <is>
          <t>TV at Year 6</t>
        </is>
      </c>
      <c r="O37" s="135" t="inlineStr">
        <is>
          <t>PV(TV_6)</t>
        </is>
      </c>
      <c r="P37" s="135" t="inlineStr">
        <is>
          <t>Price_t (CORRECT)</t>
        </is>
      </c>
      <c r="Q37" s="135" t="inlineStr">
        <is>
          <t>P/CF_next (CORRECT)</t>
        </is>
      </c>
    </row>
    <row r="38">
      <c r="A38" s="50" t="n"/>
      <c r="B38" s="73">
        <f>B32</f>
        <v/>
      </c>
      <c r="C38" s="71">
        <f>1/(1+$B$35)^A38</f>
        <v/>
      </c>
      <c r="D38" s="70">
        <f>B38*C38</f>
        <v/>
      </c>
      <c r="E38" s="70">
        <f>B38/($B$35-$B$34)</f>
        <v/>
      </c>
      <c r="F38" s="86">
        <f>E38/B38</f>
        <v/>
      </c>
      <c r="H38" s="50" t="n">
        <v>5</v>
      </c>
      <c r="I38" s="136">
        <f>B39/(1+$B$35)^1</f>
        <v/>
      </c>
      <c r="J38" s="136">
        <f>B40/(1+$B$35)^2</f>
        <v/>
      </c>
      <c r="K38" s="136">
        <f>B41/(1+$B$35)^3</f>
        <v/>
      </c>
      <c r="L38" s="136">
        <f>B42/(1+$B$35)^4</f>
        <v/>
      </c>
      <c r="M38" s="136">
        <f>B43/(1+$B$35)^5</f>
        <v/>
      </c>
      <c r="N38" s="136">
        <f>B44/($B$35-$B$34)</f>
        <v/>
      </c>
      <c r="O38" s="136">
        <f>N38/(1+$B$35)^6</f>
        <v/>
      </c>
      <c r="P38" s="136">
        <f>SUM(I38:M38)+O38</f>
        <v/>
      </c>
      <c r="Q38" s="137">
        <f>P38/B38</f>
        <v/>
      </c>
    </row>
    <row r="39">
      <c r="A39" s="50" t="n">
        <v>1</v>
      </c>
      <c r="B39" s="70">
        <f>B38*(1+$B$33)</f>
        <v/>
      </c>
      <c r="C39" s="71">
        <f>1/(1+$B$35)^A39</f>
        <v/>
      </c>
      <c r="D39" s="70">
        <f>B39*C39</f>
        <v/>
      </c>
      <c r="E39" s="70">
        <f>B39/($B$35-$B$34)</f>
        <v/>
      </c>
      <c r="F39" s="86">
        <f>E39/B39</f>
        <v/>
      </c>
      <c r="H39" s="50" t="n">
        <v>4</v>
      </c>
      <c r="I39" s="136">
        <f>B40/(1+$B$35)^1</f>
        <v/>
      </c>
      <c r="J39" s="136">
        <f>B41/(1+$B$35)^2</f>
        <v/>
      </c>
      <c r="K39" s="136">
        <f>B42/(1+$B$35)^3</f>
        <v/>
      </c>
      <c r="L39" s="136">
        <f>B43/(1+$B$35)^4</f>
        <v/>
      </c>
      <c r="M39" s="50" t="n"/>
      <c r="N39" s="136">
        <f>B44/($B$35-$B$34)</f>
        <v/>
      </c>
      <c r="O39" s="136">
        <f>N39/(1+$B$35)^5</f>
        <v/>
      </c>
      <c r="P39" s="136">
        <f>SUM(I39:L39)+O39</f>
        <v/>
      </c>
      <c r="Q39" s="137">
        <f>P39/B39</f>
        <v/>
      </c>
    </row>
    <row r="40">
      <c r="A40" s="50" t="n">
        <v>2</v>
      </c>
      <c r="B40" s="70">
        <f>B39*(1+$B$33)</f>
        <v/>
      </c>
      <c r="C40" s="71">
        <f>1/(1+$B$35)^A40</f>
        <v/>
      </c>
      <c r="D40" s="70">
        <f>B40*C40</f>
        <v/>
      </c>
      <c r="E40" s="70">
        <f>B40/($B$35-$B$34)</f>
        <v/>
      </c>
      <c r="F40" s="86">
        <f>E40/B40</f>
        <v/>
      </c>
      <c r="H40" s="50" t="n">
        <v>3</v>
      </c>
      <c r="I40" s="136">
        <f>B41/(1+$B$35)^1</f>
        <v/>
      </c>
      <c r="J40" s="136">
        <f>B42/(1+$B$35)^2</f>
        <v/>
      </c>
      <c r="K40" s="136">
        <f>B43/(1+$B$35)^3</f>
        <v/>
      </c>
      <c r="L40" s="50" t="n"/>
      <c r="M40" s="50" t="n"/>
      <c r="N40" s="136">
        <f>B44/($B$35-$B$34)</f>
        <v/>
      </c>
      <c r="O40" s="136">
        <f>N40/(1+$B$35)^4</f>
        <v/>
      </c>
      <c r="P40" s="136">
        <f>SUM(I40:K40)+O40</f>
        <v/>
      </c>
      <c r="Q40" s="137">
        <f>P40/B40</f>
        <v/>
      </c>
    </row>
    <row r="41">
      <c r="A41" s="50" t="n">
        <v>3</v>
      </c>
      <c r="B41" s="70">
        <f>B40*(1+$B$33)</f>
        <v/>
      </c>
      <c r="C41" s="71">
        <f>1/(1+$B$35)^A41</f>
        <v/>
      </c>
      <c r="D41" s="70">
        <f>B41*C41</f>
        <v/>
      </c>
      <c r="E41" s="70">
        <f>B41/($B$35-$B$34)</f>
        <v/>
      </c>
      <c r="F41" s="86">
        <f>E41/B41</f>
        <v/>
      </c>
      <c r="H41" s="50" t="n">
        <v>2</v>
      </c>
      <c r="I41" s="136">
        <f>B42/(1+$B$35)^1</f>
        <v/>
      </c>
      <c r="J41" s="136">
        <f>B43/(1+$B$35)^2</f>
        <v/>
      </c>
      <c r="K41" s="50" t="n"/>
      <c r="L41" s="50" t="n"/>
      <c r="M41" s="50" t="n"/>
      <c r="N41" s="136">
        <f>B44/($B$35-$B$34)</f>
        <v/>
      </c>
      <c r="O41" s="136">
        <f>N41/(1+$B$35)^3</f>
        <v/>
      </c>
      <c r="P41" s="136">
        <f>SUM(I41:J41)+O41</f>
        <v/>
      </c>
      <c r="Q41" s="137">
        <f>P41/B41</f>
        <v/>
      </c>
    </row>
    <row r="42">
      <c r="A42" s="50" t="n">
        <v>4</v>
      </c>
      <c r="B42" s="70">
        <f>B41*(1+$B$33)</f>
        <v/>
      </c>
      <c r="C42" s="71">
        <f>1/(1+$B$35)^A42</f>
        <v/>
      </c>
      <c r="D42" s="70">
        <f>B42*C42</f>
        <v/>
      </c>
      <c r="E42" s="70">
        <f>B42/($B$35-$B$34)</f>
        <v/>
      </c>
      <c r="F42" s="86">
        <f>E42/B42</f>
        <v/>
      </c>
      <c r="H42" s="50" t="n">
        <v>1</v>
      </c>
      <c r="I42" s="136">
        <f>B43/(1+$B$35)^1</f>
        <v/>
      </c>
      <c r="J42" s="50" t="n"/>
      <c r="K42" s="50" t="n"/>
      <c r="L42" s="50" t="n"/>
      <c r="M42" s="50" t="n"/>
      <c r="N42" s="136">
        <f>B44/($B$35-$B$34)</f>
        <v/>
      </c>
      <c r="O42" s="136">
        <f>N42/(1+$B$35)^2</f>
        <v/>
      </c>
      <c r="P42" s="136">
        <f>I42+O42</f>
        <v/>
      </c>
      <c r="Q42" s="137">
        <f>P42/B42</f>
        <v/>
      </c>
    </row>
    <row r="43">
      <c r="A43" s="50" t="n">
        <v>5</v>
      </c>
      <c r="B43" s="70">
        <f>B42*(1+$B$33)</f>
        <v/>
      </c>
      <c r="C43" s="71">
        <f>1/(1+$B$35)^A43</f>
        <v/>
      </c>
      <c r="D43" s="70">
        <f>B43*C43</f>
        <v/>
      </c>
      <c r="E43" s="70">
        <f>B43/($B$35-$B$34)</f>
        <v/>
      </c>
      <c r="F43" s="86">
        <f>E43/B43</f>
        <v/>
      </c>
      <c r="H43" s="50" t="n"/>
      <c r="I43" s="50" t="n"/>
      <c r="J43" s="50" t="n"/>
      <c r="K43" s="50" t="n"/>
      <c r="L43" s="50" t="n"/>
      <c r="M43" s="50" t="n"/>
      <c r="N43" s="136">
        <f>B44/($B$35-$B$34)</f>
        <v/>
      </c>
      <c r="O43" s="136">
        <f>N43/(1+$B$35)^1</f>
        <v/>
      </c>
      <c r="P43" s="136">
        <f>O43</f>
        <v/>
      </c>
      <c r="Q43" s="137">
        <f>P43/B43</f>
        <v/>
      </c>
    </row>
    <row r="44">
      <c r="A44" s="50" t="n">
        <v>6</v>
      </c>
      <c r="B44" s="70">
        <f>B43*(1+$B$34)</f>
        <v/>
      </c>
      <c r="C44" s="71">
        <f>1/(1+$B$35)^A44</f>
        <v/>
      </c>
      <c r="D44" s="70">
        <f>B44*C44</f>
        <v/>
      </c>
      <c r="E44" s="70">
        <f>B44/($B$35-$B$34)</f>
        <v/>
      </c>
      <c r="F44" s="86">
        <f>E44/B44</f>
        <v/>
      </c>
      <c r="H44" s="50" t="n"/>
      <c r="I44" s="50" t="n"/>
      <c r="J44" s="50" t="n"/>
      <c r="K44" s="50" t="n"/>
      <c r="L44" s="50" t="n"/>
      <c r="M44" s="50" t="n"/>
      <c r="N44" s="50" t="inlineStr">
        <is>
          <t>N/A (at TV point)</t>
        </is>
      </c>
      <c r="O44" s="50" t="n"/>
      <c r="P44" s="136">
        <f>B44/($B$35-$B$34)</f>
        <v/>
      </c>
      <c r="Q44" s="138">
        <f>P44/B44</f>
        <v/>
      </c>
    </row>
    <row r="45">
      <c r="A45" s="50" t="n">
        <v>7</v>
      </c>
      <c r="B45" s="70">
        <f>B44*(1+$B$34)</f>
        <v/>
      </c>
      <c r="C45" s="71">
        <f>1/(1+$B$35)^A45</f>
        <v/>
      </c>
      <c r="D45" s="70">
        <f>B45*C45</f>
        <v/>
      </c>
      <c r="H45" s="50" t="n"/>
      <c r="I45" s="50" t="n"/>
      <c r="J45" s="50" t="n"/>
      <c r="K45" s="50" t="n"/>
      <c r="L45" s="50" t="n"/>
      <c r="M45" s="50" t="n"/>
      <c r="N45" s="50" t="inlineStr">
        <is>
          <t>N/A</t>
        </is>
      </c>
      <c r="O45" s="50" t="n"/>
      <c r="P45" s="136">
        <f>B45/($B$35-$B$34)</f>
        <v/>
      </c>
      <c r="Q45" s="138">
        <f>P45/B45</f>
        <v/>
      </c>
    </row>
    <row r="46">
      <c r="A46" s="59" t="inlineStr">
        <is>
          <t>KEY INSIGHT (See Column Q for CORRECT P/CF multiples):</t>
        </is>
      </c>
    </row>
    <row r="47">
      <c r="A47" s="50" t="inlineStr">
        <is>
          <t>• P/CF multiple DECLINES from 22.57 → 11.61 during high-growth phase (Years 0-5)</t>
        </is>
      </c>
    </row>
    <row r="48">
      <c r="A48" s="50" t="inlineStr">
        <is>
          <t>• This is NORMAL and expected, not a sign of value destruction</t>
        </is>
      </c>
    </row>
    <row r="49">
      <c r="A49" s="50" t="inlineStr">
        <is>
          <t>• Declining multiples reflect fewer high-growth years remaining in the future</t>
        </is>
      </c>
    </row>
    <row r="50">
      <c r="A50" s="50" t="inlineStr">
        <is>
          <t>• Multiple stabilizes at 12.50 once firm enters mature growth phase (Year 6+)</t>
        </is>
      </c>
    </row>
    <row r="51">
      <c r="A51" s="58" t="inlineStr">
        <is>
          <t>C. USING COMPARABLES - CHECKLIST</t>
        </is>
      </c>
    </row>
    <row r="52">
      <c r="A52" s="139" t="inlineStr">
        <is>
          <t>COMPARISON: Old vs New Formula</t>
        </is>
      </c>
    </row>
    <row r="53">
      <c r="A53" s="50" t="inlineStr">
        <is>
          <t>Old Formula (Column E-F): Used mature growth rate for ALL years</t>
        </is>
      </c>
    </row>
    <row r="54">
      <c r="A54" s="50" t="inlineStr">
        <is>
          <t xml:space="preserve">  • Price_t = CF_t / (r - g_L) for all t</t>
        </is>
      </c>
    </row>
    <row r="55">
      <c r="A55" s="50" t="inlineStr">
        <is>
          <t xml:space="preserve">  • Result: P/CF = 12.50 (constant) - FAILED to show declining pattern</t>
        </is>
      </c>
    </row>
    <row r="56">
      <c r="A56" s="50" t="inlineStr">
        <is>
          <t xml:space="preserve">  • Problem: Ignores high-growth phase still remaining in future</t>
        </is>
      </c>
    </row>
    <row r="57">
      <c r="A57" s="50" t="inlineStr">
        <is>
          <t>☐ Similar margins (if using revenue multiples)</t>
        </is>
      </c>
    </row>
    <row r="58">
      <c r="A58" s="140" t="inlineStr">
        <is>
          <t>New Formula (Column P-Q): Proper two-stage DCF valuation</t>
        </is>
      </c>
    </row>
    <row r="59">
      <c r="A59" s="50" t="inlineStr">
        <is>
          <t xml:space="preserve">  • Years 0-5: Price_t = PV(remaining high-growth CFs) + PV(Terminal Value at Year 6)</t>
        </is>
      </c>
    </row>
    <row r="60">
      <c r="A60" s="50" t="inlineStr">
        <is>
          <t xml:space="preserve">  • Years 6+: Price_t = CF_t / (r - g_L)  [simple Gordon Growth]</t>
        </is>
      </c>
    </row>
    <row r="61">
      <c r="A61" s="50" t="inlineStr">
        <is>
          <t xml:space="preserve">  • Result: P/CF declines from 22.57 → 11.61 → 12.50 ✓ Shows correct pattern!</t>
        </is>
      </c>
    </row>
    <row r="63">
      <c r="A63" s="141" t="inlineStr">
        <is>
          <t>WHY THIS MATTERS:</t>
        </is>
      </c>
    </row>
    <row r="64">
      <c r="A64" s="50" t="inlineStr">
        <is>
          <t>When valuing a company in a high-growth phase:</t>
        </is>
      </c>
    </row>
    <row r="65">
      <c r="A65" s="50" t="inlineStr">
        <is>
          <t xml:space="preserve">  1. You CANNOT use simple Gordon Growth (requires g &lt; r)</t>
        </is>
      </c>
    </row>
    <row r="66">
      <c r="A66" s="50" t="inlineStr">
        <is>
          <t xml:space="preserve">  2. Must account for BOTH near-term high growth AND eventual maturity</t>
        </is>
      </c>
    </row>
    <row r="67">
      <c r="A67" s="50" t="inlineStr">
        <is>
          <t xml:space="preserve">  3. Higher multiples early on reflect more high-growth years ahead</t>
        </is>
      </c>
    </row>
    <row r="68">
      <c r="A68" s="50" t="inlineStr">
        <is>
          <t xml:space="preserve">  4. Declining multiples are NORMAL as you approach mature phase</t>
        </is>
      </c>
    </row>
    <row r="71">
      <c r="A71" s="142" t="inlineStr">
        <is>
          <t>LEGEND:</t>
        </is>
      </c>
      <c r="Q71" s="143" t="inlineStr">
        <is>
          <t>High Growth Years (0-5)</t>
        </is>
      </c>
    </row>
    <row r="72">
      <c r="Q72" s="144" t="inlineStr">
        <is>
          <t>Mature Growth Years (6+)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0" min="1" max="1"/>
    <col width="18" customWidth="1" style="50" min="2" max="2"/>
    <col width="25" customWidth="1" style="50" min="3" max="3"/>
    <col width="20" customWidth="1" style="50" min="4" max="4"/>
  </cols>
  <sheetData>
    <row r="1" ht="17.25" customHeight="1" s="51">
      <c r="A1" s="118" t="inlineStr">
        <is>
          <t>This sheet implements Archetype 6: Dividend / Payout &amp; Mispricing</t>
        </is>
      </c>
    </row>
    <row r="2" ht="15" customHeight="1" s="51">
      <c r="A2" s="56" t="inlineStr">
        <is>
          <t>DIVIDEND / PAYOUT POLICY &amp; SIGNALING</t>
        </is>
      </c>
    </row>
    <row r="3">
      <c r="A3" s="57" t="inlineStr">
        <is>
          <t>Separates mechanical effects from information content and leverage effects</t>
        </is>
      </c>
    </row>
    <row r="4" ht="15" customHeight="1" s="51"/>
    <row r="5" ht="15" customHeight="1" s="51">
      <c r="A5" s="58" t="inlineStr">
        <is>
          <t>INSTRUCTIONS:</t>
        </is>
      </c>
    </row>
    <row r="6" ht="15" customHeight="1" s="51">
      <c r="A6" s="50" t="inlineStr">
        <is>
          <t>1. Section A shows M&amp;M irrelevance (mechanics)</t>
        </is>
      </c>
    </row>
    <row r="7" ht="15" customHeight="1" s="51">
      <c r="A7" s="50" t="inlineStr">
        <is>
          <t>2. Section B shows information/signaling effects</t>
        </is>
      </c>
    </row>
    <row r="8">
      <c r="A8" s="50" t="inlineStr">
        <is>
          <t>3. Section C analyzes leveraged payout (debt-financed dividend)</t>
        </is>
      </c>
    </row>
    <row r="9" ht="15" customHeight="1" s="51"/>
    <row r="10" ht="15" customHeight="1" s="51">
      <c r="A10" s="58" t="inlineStr">
        <is>
          <t>A. M&amp;M IRRELEVANCE (Mechanical Effects Only)</t>
        </is>
      </c>
    </row>
    <row r="11">
      <c r="A11" s="50" t="inlineStr">
        <is>
          <t>Shows payout doesn't change shareholder wealth in frictionless world</t>
        </is>
      </c>
    </row>
    <row r="12" ht="15" customHeight="1" s="51"/>
    <row r="13" ht="15" customHeight="1" s="51">
      <c r="A13" s="50" t="inlineStr">
        <is>
          <t>Firm Value (Pre-Dividend):</t>
        </is>
      </c>
      <c r="B13" s="74" t="n">
        <v>500</v>
      </c>
      <c r="C13" s="50" t="inlineStr">
        <is>
          <t>$ millions</t>
        </is>
      </c>
    </row>
    <row r="14" ht="15" customHeight="1" s="51">
      <c r="A14" s="50" t="inlineStr">
        <is>
          <t>Shares Outstanding:</t>
        </is>
      </c>
      <c r="B14" s="87" t="n">
        <v>100</v>
      </c>
      <c r="C14" s="50" t="inlineStr">
        <is>
          <t>millions</t>
        </is>
      </c>
    </row>
    <row r="15">
      <c r="A15" s="50" t="inlineStr">
        <is>
          <t>Cash Dividend:</t>
        </is>
      </c>
      <c r="B15" s="74" t="n">
        <v>50</v>
      </c>
      <c r="C15" s="50" t="inlineStr">
        <is>
          <t>$ millions total</t>
        </is>
      </c>
    </row>
    <row r="16" ht="15" customHeight="1" s="51"/>
    <row r="17" ht="15" customHeight="1" s="51">
      <c r="A17" s="59" t="inlineStr">
        <is>
          <t>BEFORE DIVIDEND (Cum-Div):</t>
        </is>
      </c>
    </row>
    <row r="18">
      <c r="A18" s="50" t="inlineStr">
        <is>
          <t>Price per share:</t>
        </is>
      </c>
      <c r="B18" s="88">
        <f>B13/B14</f>
        <v/>
      </c>
    </row>
    <row r="19" ht="15" customHeight="1" s="51"/>
    <row r="20" ht="15" customHeight="1" s="51">
      <c r="A20" s="59" t="inlineStr">
        <is>
          <t>AFTER DIVIDEND (Ex-Div):</t>
        </is>
      </c>
    </row>
    <row r="21" ht="15" customHeight="1" s="51">
      <c r="A21" s="50" t="inlineStr">
        <is>
          <t>Firm Value:</t>
        </is>
      </c>
      <c r="B21" s="70">
        <f>B13-B15</f>
        <v/>
      </c>
    </row>
    <row r="22" ht="15" customHeight="1" s="51">
      <c r="A22" s="50" t="inlineStr">
        <is>
          <t>Price per share:</t>
        </is>
      </c>
      <c r="B22" s="89">
        <f>B21/B14</f>
        <v/>
      </c>
    </row>
    <row r="23">
      <c r="A23" s="50" t="inlineStr">
        <is>
          <t>Dividend per share:</t>
        </is>
      </c>
      <c r="B23" s="89">
        <f>B15/B14</f>
        <v/>
      </c>
    </row>
    <row r="24" ht="15" customHeight="1" s="51"/>
    <row r="25" ht="15" customHeight="1" s="51">
      <c r="A25" s="59" t="inlineStr">
        <is>
          <t>SHAREHOLDER WEALTH CHECK:</t>
        </is>
      </c>
    </row>
    <row r="26" ht="15" customHeight="1" s="51">
      <c r="A26" s="50" t="inlineStr">
        <is>
          <t>Stock + Cash Received:</t>
        </is>
      </c>
      <c r="B26" s="88">
        <f>B22+B23</f>
        <v/>
      </c>
      <c r="C26" s="50" t="inlineStr">
        <is>
          <t>Should equal B17</t>
        </is>
      </c>
    </row>
    <row r="27">
      <c r="A27" s="50" t="inlineStr">
        <is>
          <t>Change in wealth:</t>
        </is>
      </c>
      <c r="B27" s="89">
        <f>B26-B18</f>
        <v/>
      </c>
    </row>
    <row r="28" ht="15" customHeight="1" s="51"/>
    <row r="29" ht="15" customHeight="1" s="51">
      <c r="A29" s="58" t="inlineStr">
        <is>
          <t>B. INFORMATION CONTENT / SIGNALING</t>
        </is>
      </c>
    </row>
    <row r="30">
      <c r="A30" s="50" t="inlineStr">
        <is>
          <t>Stock price changes because dividend conveys information about future cash flows</t>
        </is>
      </c>
    </row>
    <row r="31" ht="15" customHeight="1" s="51"/>
    <row r="32" ht="15" customHeight="1" s="51">
      <c r="A32" s="59" t="inlineStr">
        <is>
          <t>INITIAL EXPECTATIONS:</t>
        </is>
      </c>
    </row>
    <row r="33" ht="15" customHeight="1" s="51">
      <c r="A33" s="50" t="inlineStr">
        <is>
          <t>Expected Perpetual CF:</t>
        </is>
      </c>
      <c r="B33" s="74" t="n">
        <v>40</v>
      </c>
      <c r="C33" s="50" t="inlineStr">
        <is>
          <t>$/year</t>
        </is>
      </c>
    </row>
    <row r="34" ht="15" customHeight="1" s="51">
      <c r="A34" s="50" t="inlineStr">
        <is>
          <t>Growth Rate (g):</t>
        </is>
      </c>
      <c r="B34" s="61" t="n">
        <v>0.04</v>
      </c>
    </row>
    <row r="35" ht="15" customHeight="1" s="51">
      <c r="A35" s="50" t="inlineStr">
        <is>
          <t>Discount Rate (r):</t>
        </is>
      </c>
      <c r="B35" s="61" t="n">
        <v>0.12</v>
      </c>
    </row>
    <row r="36">
      <c r="A36" s="50" t="inlineStr">
        <is>
          <t>Initial Valuation:</t>
        </is>
      </c>
      <c r="B36" s="75">
        <f>B33*(1+B34)/(B35-B34)</f>
        <v/>
      </c>
    </row>
    <row r="37" ht="15" customHeight="1" s="51"/>
    <row r="38" ht="15" customHeight="1" s="51">
      <c r="A38" s="59" t="inlineStr">
        <is>
          <t>AFTER DIVIDEND ANNOUNCEMENT:</t>
        </is>
      </c>
    </row>
    <row r="39">
      <c r="A39" s="50" t="inlineStr">
        <is>
          <t>(Market revises CF expectations based on signal)</t>
        </is>
      </c>
    </row>
    <row r="40" ht="15" customHeight="1" s="51"/>
    <row r="41" ht="15" customHeight="1" s="51">
      <c r="A41" s="50" t="inlineStr">
        <is>
          <t>Revised Expected CF:</t>
        </is>
      </c>
      <c r="B41" s="74" t="n">
        <v>45</v>
      </c>
      <c r="C41" s="50" t="inlineStr">
        <is>
          <t>Higher (positive signal)</t>
        </is>
      </c>
    </row>
    <row r="42" ht="15" customHeight="1" s="51">
      <c r="A42" s="50" t="inlineStr">
        <is>
          <t>Revised Growth (if applicable):</t>
        </is>
      </c>
      <c r="B42" s="64">
        <f>B34</f>
        <v/>
      </c>
    </row>
    <row r="43">
      <c r="A43" s="50" t="inlineStr">
        <is>
          <t>Revised Valuation:</t>
        </is>
      </c>
      <c r="B43" s="75">
        <f>B41*(1+B42)/(B35-B42)</f>
        <v/>
      </c>
    </row>
    <row r="44" ht="15" customHeight="1" s="51"/>
    <row r="45">
      <c r="A45" s="59" t="inlineStr">
        <is>
          <t>PRICE CHANGE DUE TO INFORMATION:</t>
        </is>
      </c>
      <c r="B45" s="72">
        <f>B43-B36</f>
        <v/>
      </c>
    </row>
    <row r="46" ht="15" customHeight="1" s="51"/>
    <row r="47">
      <c r="A47" s="90" t="inlineStr">
        <is>
          <t>KEY POINT: Price jump reflects updated beliefs about CF, not the payout itself</t>
        </is>
      </c>
    </row>
    <row r="48" ht="15" customHeight="1" s="51"/>
    <row r="49">
      <c r="A49" s="58" t="inlineStr">
        <is>
          <t>C. DEBT-FINANCED PAYOUT ANALYSIS</t>
        </is>
      </c>
    </row>
    <row r="50" ht="15" customHeight="1" s="51"/>
    <row r="51" ht="15" customHeight="1" s="51">
      <c r="A51" s="50" t="inlineStr">
        <is>
          <t>New Debt Issued (ΔD):</t>
        </is>
      </c>
      <c r="B51" s="74" t="n">
        <v>50</v>
      </c>
      <c r="C51" s="50" t="inlineStr">
        <is>
          <t>To fund dividend</t>
        </is>
      </c>
    </row>
    <row r="52" ht="15" customHeight="1" s="51">
      <c r="A52" s="50" t="inlineStr">
        <is>
          <t>Tax Rate (Tax Rate):</t>
        </is>
      </c>
      <c r="B52" s="61" t="n">
        <v>0.21</v>
      </c>
    </row>
    <row r="53" ht="15" customHeight="1" s="51">
      <c r="A53" s="50" t="inlineStr">
        <is>
          <t>Est. PV(Tax Shield):</t>
        </is>
      </c>
      <c r="B53" s="70">
        <f>B50*B51</f>
        <v/>
      </c>
    </row>
    <row r="54">
      <c r="A54" s="50" t="inlineStr">
        <is>
          <t>Est. PV(Distress Costs):</t>
        </is>
      </c>
      <c r="B54" s="74" t="n">
        <v>3</v>
      </c>
      <c r="C54" s="50" t="inlineStr">
        <is>
          <t>Estimate based on new leverage</t>
        </is>
      </c>
    </row>
    <row r="55" ht="15" customHeight="1" s="51"/>
    <row r="56">
      <c r="A56" s="59" t="inlineStr">
        <is>
          <t>NET EFFECT ON FIRM VALUE:</t>
        </is>
      </c>
      <c r="B56" s="72">
        <f>B52-B53</f>
        <v/>
      </c>
      <c r="C56" s="50" t="inlineStr">
        <is>
          <t>Tax benefit minus distress cost</t>
        </is>
      </c>
    </row>
    <row r="57" ht="15" customHeight="1" s="51"/>
    <row r="58" ht="15" customHeight="1" s="51">
      <c r="A58" s="59" t="inlineStr">
        <is>
          <t>INTERPRETATION:</t>
        </is>
      </c>
    </row>
    <row r="59" ht="15" customHeight="1" s="51">
      <c r="A59" s="50" t="inlineStr">
        <is>
          <t>• Debt-financed payout creates tax shields but increases distress risk</t>
        </is>
      </c>
    </row>
    <row r="60" ht="15" customHeight="1" s="51">
      <c r="A60" s="50" t="inlineStr">
        <is>
          <t>• Net effect depends on: tax rate, distress costs, existing leverage</t>
        </is>
      </c>
    </row>
    <row r="61">
      <c r="A61" s="50" t="inlineStr">
        <is>
          <t>• Return on equity (rE) will rise due to leverage, but this is required return</t>
        </is>
      </c>
    </row>
  </sheetData>
  <mergeCells count="5">
    <mergeCell ref="A9:D9"/>
    <mergeCell ref="A4:E4"/>
    <mergeCell ref="A1:F1"/>
    <mergeCell ref="A28:E28"/>
    <mergeCell ref="A48:D4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F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50" min="1" max="1"/>
    <col width="18" customWidth="1" style="50" min="2" max="4"/>
  </cols>
  <sheetData>
    <row r="1" ht="17.25" customHeight="1" s="51">
      <c r="A1" s="118" t="inlineStr">
        <is>
          <t>This sheet implements Archetype 7: Real Options &amp; Value of Information</t>
        </is>
      </c>
    </row>
    <row r="2" ht="15" customHeight="1" s="51">
      <c r="A2" s="56" t="inlineStr">
        <is>
          <t>REAL OPTIONS &amp; VALUE OF INFORMATION</t>
        </is>
      </c>
    </row>
    <row r="3">
      <c r="A3" s="57" t="inlineStr">
        <is>
          <t>Compares invest-now vs. wait-and-learn strategies, calculates value of information</t>
        </is>
      </c>
    </row>
    <row r="4" ht="15" customHeight="1" s="51"/>
    <row r="5" ht="15" customHeight="1" s="51">
      <c r="A5" s="58" t="inlineStr">
        <is>
          <t>INSTRUCTIONS:</t>
        </is>
      </c>
    </row>
    <row r="6" ht="15" customHeight="1" s="51">
      <c r="A6" s="50" t="inlineStr">
        <is>
          <t>1. Enter project NPVs in different states</t>
        </is>
      </c>
    </row>
    <row r="7" ht="15" customHeight="1" s="51">
      <c r="A7" s="50" t="inlineStr">
        <is>
          <t>2. Specify cost and timing of research/information</t>
        </is>
      </c>
    </row>
    <row r="8">
      <c r="A8" s="50" t="inlineStr">
        <is>
          <t>3. Template computes value of waiting for information</t>
        </is>
      </c>
    </row>
    <row r="9" ht="15" customHeight="1" s="51"/>
    <row r="10" ht="15" customHeight="1" s="51">
      <c r="A10" s="58" t="inlineStr">
        <is>
          <t>A. PROJECT INPUTS &amp; STATES</t>
        </is>
      </c>
    </row>
    <row r="11" ht="15" customHeight="1" s="51">
      <c r="A11" s="50" t="inlineStr">
        <is>
          <t>Discount Rate (r):</t>
        </is>
      </c>
      <c r="B11" s="61" t="n">
        <v>0.12</v>
      </c>
    </row>
    <row r="12" ht="15" customHeight="1" s="51">
      <c r="A12" s="50" t="inlineStr">
        <is>
          <t>Time to Decision if Waiting (T):</t>
        </is>
      </c>
      <c r="B12" s="60" t="n">
        <v>1</v>
      </c>
      <c r="C12" s="50" t="inlineStr">
        <is>
          <t>years</t>
        </is>
      </c>
    </row>
    <row r="13">
      <c r="A13" s="50" t="inlineStr">
        <is>
          <t>Cost of Research/Info (C_info):</t>
        </is>
      </c>
      <c r="B13" s="74" t="n">
        <v>5</v>
      </c>
      <c r="C13" s="50" t="inlineStr">
        <is>
          <t>Paid at t=0</t>
        </is>
      </c>
    </row>
    <row r="14" ht="15" customHeight="1" s="51"/>
    <row r="15" ht="15" customHeight="1" s="51">
      <c r="A15" s="82" t="inlineStr">
        <is>
          <t>State</t>
        </is>
      </c>
      <c r="B15" s="82" t="inlineStr">
        <is>
          <t>Probability</t>
        </is>
      </c>
      <c r="C15" s="82" t="inlineStr">
        <is>
          <t>Project NPV</t>
        </is>
      </c>
      <c r="D15" s="82" t="inlineStr">
        <is>
          <t>Invest Decision</t>
        </is>
      </c>
    </row>
    <row r="16" ht="15" customHeight="1" s="51">
      <c r="A16" s="50" t="inlineStr">
        <is>
          <t>High Demand</t>
        </is>
      </c>
      <c r="B16" s="61" t="n">
        <v>0.3</v>
      </c>
      <c r="C16" s="74" t="n">
        <v>60</v>
      </c>
      <c r="D16" s="50">
        <f>IF(C16&gt;0,"INVEST","PASS")</f>
        <v/>
      </c>
    </row>
    <row r="17" ht="15" customHeight="1" s="51">
      <c r="A17" s="50" t="inlineStr">
        <is>
          <t>Medium Demand</t>
        </is>
      </c>
      <c r="B17" s="61" t="n">
        <v>0.4</v>
      </c>
      <c r="C17" s="74" t="n">
        <v>10</v>
      </c>
      <c r="D17" s="50">
        <f>IF(C17&gt;0,"INVEST","PASS")</f>
        <v/>
      </c>
    </row>
    <row r="18">
      <c r="A18" s="50" t="inlineStr">
        <is>
          <t>Low Demand</t>
        </is>
      </c>
      <c r="B18" s="61" t="n">
        <v>0.3</v>
      </c>
      <c r="C18" s="74" t="n">
        <v>-20</v>
      </c>
      <c r="D18" s="50">
        <f>IF(C18&gt;0,"INVEST","PASS")</f>
        <v/>
      </c>
    </row>
    <row r="19" ht="15" customHeight="1" s="51"/>
    <row r="20">
      <c r="A20" s="58" t="inlineStr">
        <is>
          <t>B. DECISION ANALYSIS</t>
        </is>
      </c>
    </row>
    <row r="21" ht="15" customHeight="1" s="51"/>
    <row r="22" ht="15" customHeight="1" s="51">
      <c r="A22" s="59" t="inlineStr">
        <is>
          <t>STRATEGY 1: INVEST NOW (No Information)</t>
        </is>
      </c>
    </row>
    <row r="23" ht="15" customHeight="1" s="51">
      <c r="A23" s="50" t="inlineStr">
        <is>
          <t>Expected NPV:</t>
        </is>
      </c>
      <c r="B23" s="70">
        <f>SUMPRODUCT(B16:B18,C16:C18)</f>
        <v/>
      </c>
    </row>
    <row r="24" ht="15" customHeight="1" s="51">
      <c r="A24" s="50" t="inlineStr">
        <is>
          <t>Decision:</t>
        </is>
      </c>
      <c r="B24" s="50">
        <f>IF(B23&gt;0,"INVEST","PASS")</f>
        <v/>
      </c>
    </row>
    <row r="25">
      <c r="A25" s="50" t="inlineStr">
        <is>
          <t>Value (NPV_no_info):</t>
        </is>
      </c>
      <c r="B25" s="72">
        <f>MAX(0,B23)</f>
        <v/>
      </c>
    </row>
    <row r="26" ht="15" customHeight="1" s="51"/>
    <row r="27" ht="15" customHeight="1" s="51">
      <c r="A27" s="59" t="inlineStr">
        <is>
          <t>STRATEGY 2: WAIT FOR INFORMATION</t>
        </is>
      </c>
    </row>
    <row r="28" ht="15" customHeight="1" s="51">
      <c r="A28" s="50" t="inlineStr">
        <is>
          <t>With perfect info, invest only when NPV &gt; 0</t>
        </is>
      </c>
    </row>
    <row r="29" ht="15" customHeight="1" s="51">
      <c r="A29" s="82" t="inlineStr">
        <is>
          <t>State</t>
        </is>
      </c>
      <c r="B29" s="82" t="inlineStr">
        <is>
          <t>Prob</t>
        </is>
      </c>
      <c r="C29" s="82" t="inlineStr">
        <is>
          <t>NPV if state occurs</t>
        </is>
      </c>
      <c r="D29" s="82" t="inlineStr">
        <is>
          <t>Payoff w/ info</t>
        </is>
      </c>
    </row>
    <row r="30" ht="15" customHeight="1" s="51">
      <c r="A30" s="91">
        <f>A15</f>
        <v/>
      </c>
      <c r="B30" s="64">
        <f>B15</f>
        <v/>
      </c>
      <c r="C30" s="73">
        <f>C15</f>
        <v/>
      </c>
      <c r="D30" s="70">
        <f>MAX(0,C30)</f>
        <v/>
      </c>
    </row>
    <row r="31" ht="15" customHeight="1" s="51">
      <c r="A31" s="91">
        <f>A16</f>
        <v/>
      </c>
      <c r="B31" s="64">
        <f>B16</f>
        <v/>
      </c>
      <c r="C31" s="73">
        <f>C16</f>
        <v/>
      </c>
      <c r="D31" s="70">
        <f>MAX(0,C31)</f>
        <v/>
      </c>
    </row>
    <row r="32" ht="15" customHeight="1" s="51">
      <c r="A32" s="91">
        <f>A17</f>
        <v/>
      </c>
      <c r="B32" s="64">
        <f>B17</f>
        <v/>
      </c>
      <c r="C32" s="73">
        <f>C17</f>
        <v/>
      </c>
      <c r="D32" s="70">
        <f>MAX(0,C32)</f>
        <v/>
      </c>
    </row>
    <row r="33" ht="15" customHeight="1" s="51">
      <c r="A33" s="50" t="inlineStr">
        <is>
          <t>Expected NPV at decision time (t=T):</t>
        </is>
      </c>
      <c r="B33" s="70">
        <f>SUMPRODUCT(B30:B32,D30:D32)</f>
        <v/>
      </c>
    </row>
    <row r="34" ht="15" customHeight="1" s="51">
      <c r="A34" s="50" t="inlineStr">
        <is>
          <t>PV today (discounted):</t>
        </is>
      </c>
      <c r="B34" s="70">
        <f>B33/(1+B11)^B12</f>
        <v/>
      </c>
    </row>
    <row r="35" ht="15" customHeight="1" s="51">
      <c r="A35" s="50" t="inlineStr">
        <is>
          <t>Less: Cost of Research:</t>
        </is>
      </c>
      <c r="B35" s="73">
        <f>-B13</f>
        <v/>
      </c>
    </row>
    <row r="36">
      <c r="A36" s="50" t="inlineStr">
        <is>
          <t>Value (NPV_with_info):</t>
        </is>
      </c>
      <c r="B36" s="72">
        <f>B34+B35</f>
        <v/>
      </c>
    </row>
    <row r="37" ht="15" customHeight="1" s="51"/>
    <row r="38">
      <c r="A38" s="92" t="inlineStr">
        <is>
          <t>VALUE OF INFORMATION:</t>
        </is>
      </c>
      <c r="B38" s="77">
        <f>B36-B25</f>
        <v/>
      </c>
    </row>
    <row r="39" ht="15" customHeight="1" s="51"/>
    <row r="40">
      <c r="A40" s="50" t="inlineStr">
        <is>
          <t>Optimal Strategy:</t>
        </is>
      </c>
      <c r="B40" s="93">
        <f>IF(B38&gt;0,"WAIT FOR INFO","INVEST NOW")</f>
        <v/>
      </c>
    </row>
    <row r="41" ht="15" customHeight="1" s="51"/>
    <row r="42" ht="15" customHeight="1" s="51">
      <c r="A42" s="59" t="inlineStr">
        <is>
          <t>KEY INSIGHTS:</t>
        </is>
      </c>
    </row>
    <row r="43" ht="15" customHeight="1" s="51">
      <c r="A43" s="50" t="inlineStr">
        <is>
          <t>• Information has value when it changes decisions (helps avoid bad projects)</t>
        </is>
      </c>
    </row>
    <row r="44" ht="15" customHeight="1" s="51">
      <c r="A44" s="50" t="inlineStr">
        <is>
          <t>• Higher probability of very negative NPV states → more valuable info</t>
        </is>
      </c>
    </row>
    <row r="45" ht="15" customHeight="1" s="51">
      <c r="A45" s="50" t="inlineStr">
        <is>
          <t>• If project is positive NPV in ALL states, info may have zero value</t>
        </is>
      </c>
    </row>
    <row r="46">
      <c r="A46" s="50" t="inlineStr">
        <is>
          <t>• Tradeoff: value of info vs. time value of money + research cost</t>
        </is>
      </c>
    </row>
  </sheetData>
  <mergeCells count="4">
    <mergeCell ref="A1:F1"/>
    <mergeCell ref="A9:D9"/>
    <mergeCell ref="A4:E4"/>
    <mergeCell ref="A19:D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50" min="1" max="1"/>
    <col width="18" customWidth="1" style="50" min="2" max="6"/>
  </cols>
  <sheetData>
    <row r="1" ht="17.25" customHeight="1" s="51">
      <c r="A1" s="118" t="inlineStr">
        <is>
          <t>This sheet implements Archetype 8: Risk Management with Derivatives</t>
        </is>
      </c>
    </row>
    <row r="2" ht="15" customHeight="1" s="51">
      <c r="A2" s="116" t="inlineStr">
        <is>
          <t>📌 EXAM QUICK REFERENCE</t>
        </is>
      </c>
    </row>
    <row r="3">
      <c r="B3" s="117" t="inlineStr">
        <is>
          <t>• Commodity price hedging questions</t>
        </is>
      </c>
    </row>
    <row r="4" ht="15" customHeight="1" s="51"/>
    <row r="5" ht="15" customHeight="1" s="51"/>
    <row r="6" ht="15" customHeight="1" s="51">
      <c r="B6" s="117" t="inlineStr">
        <is>
          <t>• No timing advantage if derivatives fairly priced</t>
        </is>
      </c>
    </row>
    <row r="7" ht="15" customHeight="1" s="51"/>
    <row r="8">
      <c r="A8" s="56" t="inlineStr">
        <is>
          <t>RISK MANAGEMENT WITH DERIVATIVES</t>
        </is>
      </c>
    </row>
    <row r="9" ht="15" customHeight="1" s="51">
      <c r="A9" s="57" t="inlineStr">
        <is>
          <t>Analyzes hedging strategies and their effect on cash flow volatility and firm value</t>
        </is>
      </c>
    </row>
    <row r="10" ht="15" customHeight="1" s="51"/>
    <row r="11" ht="15" customHeight="1" s="51">
      <c r="A11" s="58" t="inlineStr">
        <is>
          <t>INSTRUCTIONS:</t>
        </is>
      </c>
    </row>
    <row r="12" ht="15" customHeight="1" s="51">
      <c r="A12" s="50" t="inlineStr">
        <is>
          <t>1. Define exposure (quantity and direction)</t>
        </is>
      </c>
    </row>
    <row r="13" ht="15" customHeight="1" s="51">
      <c r="A13" s="50" t="inlineStr">
        <is>
          <t>2. Select hedge instrument and parameters</t>
        </is>
      </c>
    </row>
    <row r="14">
      <c r="A14" s="50" t="inlineStr">
        <is>
          <t>3. Template shows hedged vs unhedged cash flows across scenarios</t>
        </is>
      </c>
    </row>
    <row r="15" ht="15" customHeight="1" s="51"/>
    <row r="16" ht="15" customHeight="1" s="51">
      <c r="A16" s="58" t="inlineStr">
        <is>
          <t>A. EXPOSURE DEFINITION</t>
        </is>
      </c>
    </row>
    <row r="17" ht="15" customHeight="1" s="51">
      <c r="A17" s="50" t="inlineStr">
        <is>
          <t>Risk Variable:</t>
        </is>
      </c>
      <c r="B17" s="60" t="inlineStr">
        <is>
          <t>Oil Price</t>
        </is>
      </c>
      <c r="C17" s="50" t="inlineStr">
        <is>
          <t>(e.g., Oil, FX, Interest Rate)</t>
        </is>
      </c>
    </row>
    <row r="18" ht="15" customHeight="1" s="51">
      <c r="A18" s="50" t="inlineStr">
        <is>
          <t>Exposure Quantity:</t>
        </is>
      </c>
      <c r="B18" s="87" t="n">
        <v>1000000</v>
      </c>
      <c r="C18" s="50" t="inlineStr">
        <is>
          <t>barrels (or units)</t>
        </is>
      </c>
    </row>
    <row r="19" ht="15" customHeight="1" s="51">
      <c r="A19" s="50" t="inlineStr">
        <is>
          <t>Exposure Direction:</t>
        </is>
      </c>
      <c r="B19" s="60" t="inlineStr">
        <is>
          <t>Buyer (long)</t>
        </is>
      </c>
      <c r="C19" s="50" t="inlineStr">
        <is>
          <t>Buyer or Seller</t>
        </is>
      </c>
    </row>
    <row r="20">
      <c r="A20" s="50" t="inlineStr">
        <is>
          <t>Current Expected Price:</t>
        </is>
      </c>
      <c r="B20" s="94" t="n">
        <v>70</v>
      </c>
      <c r="C20" s="50" t="inlineStr">
        <is>
          <t>$/barrel</t>
        </is>
      </c>
    </row>
    <row r="21" ht="15" customHeight="1" s="51"/>
    <row r="22" ht="15" customHeight="1" s="51">
      <c r="A22" s="58" t="inlineStr">
        <is>
          <t>B. HEDGE INSTRUMENT</t>
        </is>
      </c>
    </row>
    <row r="23" ht="15" customHeight="1" s="51">
      <c r="A23" s="50" t="inlineStr">
        <is>
          <t>Hedge Type:</t>
        </is>
      </c>
      <c r="B23" s="60" t="inlineStr">
        <is>
          <t>Futures (Long)</t>
        </is>
      </c>
      <c r="C23" s="50" t="inlineStr">
        <is>
          <t>Long/Short Futures, Call, Put</t>
        </is>
      </c>
    </row>
    <row r="24" ht="15" customHeight="1" s="51">
      <c r="A24" s="50" t="inlineStr">
        <is>
          <t>Futures/Strike Price (F or K):</t>
        </is>
      </c>
      <c r="B24" s="94" t="n">
        <v>70</v>
      </c>
    </row>
    <row r="25" ht="15" customHeight="1" s="51">
      <c r="A25" s="50" t="inlineStr">
        <is>
          <t>Quantity Hedged:</t>
        </is>
      </c>
      <c r="B25" s="95">
        <f>B11</f>
        <v/>
      </c>
      <c r="C25" s="50" t="inlineStr">
        <is>
          <t>(100% hedge)</t>
        </is>
      </c>
    </row>
    <row r="26" ht="15" customHeight="1" s="51">
      <c r="A26" s="50" t="inlineStr">
        <is>
          <t>Option Premium (if applicable):</t>
        </is>
      </c>
      <c r="B26" s="94" t="n">
        <v>0</v>
      </c>
      <c r="C26" s="50" t="inlineStr">
        <is>
          <t>Per unit, paid upfront</t>
        </is>
      </c>
    </row>
    <row r="28" ht="15" customHeight="1" s="51">
      <c r="A28" s="58" t="inlineStr">
        <is>
          <t>C. SCENARIO ANALYSIS &amp; HEDGING IMPACT</t>
        </is>
      </c>
    </row>
    <row r="29" ht="15" customHeight="1" s="51">
      <c r="A29" s="67" t="inlineStr">
        <is>
          <t>Scenario</t>
        </is>
      </c>
      <c r="E29" s="67" t="inlineStr">
        <is>
          <t>Net Hedged Cost</t>
        </is>
      </c>
      <c r="F29" s="67" t="inlineStr">
        <is>
          <t>Savings vs Unhedged</t>
        </is>
      </c>
    </row>
    <row r="30" ht="15" customHeight="1" s="51">
      <c r="A30" s="50" t="inlineStr">
        <is>
          <t>Low Price</t>
        </is>
      </c>
      <c r="B30" s="94" t="n">
        <v>50</v>
      </c>
      <c r="C30" s="70">
        <f>$B$11*B30</f>
        <v/>
      </c>
      <c r="D30" s="70">
        <f>$B$18*(B30-$B$17)</f>
        <v/>
      </c>
      <c r="E30" s="75">
        <f>C30-D30+$B$18*$B$19</f>
        <v/>
      </c>
      <c r="F30" s="70">
        <f>C30-E30</f>
        <v/>
      </c>
    </row>
    <row r="31" ht="15" customHeight="1" s="51">
      <c r="A31" s="50" t="inlineStr">
        <is>
          <t>Expected</t>
        </is>
      </c>
      <c r="B31" s="94" t="n">
        <v>70</v>
      </c>
      <c r="C31" s="70">
        <f>$B$11*B31</f>
        <v/>
      </c>
      <c r="D31" s="70">
        <f>$B$18*(B31-$B$17)</f>
        <v/>
      </c>
      <c r="E31" s="75">
        <f>C31-D31+$B$18*$B$19</f>
        <v/>
      </c>
      <c r="F31" s="70">
        <f>C31-E31</f>
        <v/>
      </c>
    </row>
    <row r="32">
      <c r="A32" s="50" t="inlineStr">
        <is>
          <t>High Price</t>
        </is>
      </c>
      <c r="B32" s="94" t="n">
        <v>90</v>
      </c>
      <c r="C32" s="70">
        <f>$B$11*B32</f>
        <v/>
      </c>
      <c r="D32" s="70">
        <f>$B$18*(B32-$B$17)</f>
        <v/>
      </c>
      <c r="E32" s="75">
        <f>C32-D32+$B$18*$B$19</f>
        <v/>
      </c>
      <c r="F32" s="70">
        <f>C32-E32</f>
        <v/>
      </c>
    </row>
    <row r="33" ht="15" customHeight="1" s="51">
      <c r="A33" s="50" t="inlineStr">
        <is>
          <t>Very High</t>
        </is>
      </c>
      <c r="B33" s="94" t="n">
        <v>110</v>
      </c>
      <c r="C33" s="70">
        <f>$B$11*B33</f>
        <v/>
      </c>
      <c r="D33" s="70">
        <f>$B$18*(B33-$B$17)</f>
        <v/>
      </c>
      <c r="E33" s="75">
        <f>C33-D33+$B$18*$B$19</f>
        <v/>
      </c>
      <c r="F33" s="70">
        <f>C33-E33</f>
        <v/>
      </c>
    </row>
    <row r="34" ht="15" customHeight="1" s="51"/>
    <row r="35" ht="15" customHeight="1" s="51">
      <c r="A35" s="58" t="inlineStr">
        <is>
          <t>D. RISK METRICS</t>
        </is>
      </c>
    </row>
    <row r="36" ht="15" customHeight="1" s="51">
      <c r="A36" s="50" t="inlineStr">
        <is>
          <t>Range of Unhedged Costs:</t>
        </is>
      </c>
      <c r="B36" s="70">
        <f>MAX(C30:C33)-MIN(C30:C33)</f>
        <v/>
      </c>
      <c r="C36" s="50" t="inlineStr">
        <is>
          <t>Volatility measure</t>
        </is>
      </c>
    </row>
    <row r="37" ht="15" customHeight="1" s="51">
      <c r="A37" s="50" t="inlineStr">
        <is>
          <t>Range of Hedged Costs:</t>
        </is>
      </c>
      <c r="B37" s="70">
        <f>MAX(E30:E33)-MIN(E30:E33)</f>
        <v/>
      </c>
    </row>
    <row r="38">
      <c r="A38" s="50" t="inlineStr">
        <is>
          <t>Volatility Reduction:</t>
        </is>
      </c>
      <c r="B38" s="96">
        <f>(B36-B37)/B36</f>
        <v/>
      </c>
    </row>
    <row r="40">
      <c r="A40" s="59" t="inlineStr">
        <is>
          <t>KEY INSIGHTS:</t>
        </is>
      </c>
    </row>
    <row r="41">
      <c r="A41" s="50" t="inlineStr">
        <is>
          <t>• Hedging locks in cost/revenue, reducing cash flow volatility</t>
        </is>
      </c>
    </row>
    <row r="42">
      <c r="A42" s="50" t="inlineStr">
        <is>
          <t>• Value created if volatility reduction lowers distress costs or tax variability</t>
        </is>
      </c>
    </row>
    <row r="43">
      <c r="A43" s="50" t="inlineStr">
        <is>
          <t>• Perfect hedge: net cost ≈ futures price regardless of spot price</t>
        </is>
      </c>
    </row>
    <row r="44">
      <c r="A44" s="50" t="inlineStr">
        <is>
          <t>• Trade-off: protection vs. giving up favorable price moves</t>
        </is>
      </c>
    </row>
  </sheetData>
  <mergeCells count="9">
    <mergeCell ref="A9:D9"/>
    <mergeCell ref="B2:F2"/>
    <mergeCell ref="A21:G21"/>
    <mergeCell ref="A1:F1"/>
    <mergeCell ref="B3:F3"/>
    <mergeCell ref="B5:F5"/>
    <mergeCell ref="A15:D15"/>
    <mergeCell ref="A4:F4"/>
    <mergeCell ref="A28:D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0" min="1" max="1"/>
    <col width="18" customWidth="1" style="50" min="2" max="2"/>
    <col width="35" customWidth="1" style="50" min="3" max="3"/>
    <col width="18" customWidth="1" style="50" min="4" max="4"/>
    <col width="20" customWidth="1" style="50" min="5" max="5"/>
  </cols>
  <sheetData>
    <row r="1" ht="17.25" customHeight="1" s="51">
      <c r="A1" s="118" t="inlineStr">
        <is>
          <t>This sheet implements Archetype 9: Diversification &amp; Systematic vs Idiosyncratic Risk</t>
        </is>
      </c>
    </row>
    <row r="2" ht="15" customHeight="1" s="51">
      <c r="A2" s="56" t="inlineStr">
        <is>
          <t>DIVERSIFICATION: SYSTEMATIC vs IDIOSYNCRATIC RISK</t>
        </is>
      </c>
    </row>
    <row r="3">
      <c r="A3" s="57" t="inlineStr">
        <is>
          <t>Analyzes portfolio risk and the impact of adding new assets</t>
        </is>
      </c>
    </row>
    <row r="4" ht="15" customHeight="1" s="51"/>
    <row r="5" ht="15" customHeight="1" s="51">
      <c r="A5" s="58" t="inlineStr">
        <is>
          <t>INSTRUCTIONS:</t>
        </is>
      </c>
    </row>
    <row r="6" ht="15" customHeight="1" s="51">
      <c r="A6" s="50" t="inlineStr">
        <is>
          <t>1. Enter characteristics of Asset A and Asset B</t>
        </is>
      </c>
    </row>
    <row r="7" ht="15" customHeight="1" s="51">
      <c r="A7" s="50" t="inlineStr">
        <is>
          <t>2. Specify correlation and portfolio weights</t>
        </is>
      </c>
    </row>
    <row r="8">
      <c r="A8" s="50" t="inlineStr">
        <is>
          <t>3. Template calculates total risk and systematic risk</t>
        </is>
      </c>
    </row>
    <row r="9" ht="15" customHeight="1" s="51"/>
    <row r="10" ht="15" customHeight="1" s="51">
      <c r="A10" s="58" t="inlineStr">
        <is>
          <t>A. ASSET INPUTS</t>
        </is>
      </c>
    </row>
    <row r="11" ht="15" customHeight="1" s="51">
      <c r="B11" s="67" t="inlineStr">
        <is>
          <t>Asset A</t>
        </is>
      </c>
      <c r="D11" s="67" t="inlineStr">
        <is>
          <t>Asset B</t>
        </is>
      </c>
    </row>
    <row r="12" ht="15" customHeight="1" s="51">
      <c r="A12" s="50" t="inlineStr">
        <is>
          <t>Volatility (Std Dev):</t>
        </is>
      </c>
      <c r="B12" s="61" t="n">
        <v>0.25</v>
      </c>
      <c r="C12" s="50" t="inlineStr">
        <is>
          <t>Volatility (Std Dev):</t>
        </is>
      </c>
      <c r="D12" s="61" t="n">
        <v>0.3</v>
      </c>
    </row>
    <row r="13" ht="15" customHeight="1" s="51">
      <c r="A13" s="50" t="inlineStr">
        <is>
          <t>Beta (Beta):</t>
        </is>
      </c>
      <c r="B13" s="81" t="n">
        <v>1.2</v>
      </c>
      <c r="C13" s="50" t="inlineStr">
        <is>
          <t>Beta (Beta):</t>
        </is>
      </c>
      <c r="D13" s="81" t="n">
        <v>0.8</v>
      </c>
    </row>
    <row r="14">
      <c r="A14" s="50" t="inlineStr">
        <is>
          <t>Portfolio Weight (w):</t>
        </is>
      </c>
      <c r="B14" s="61" t="n">
        <v>0.6</v>
      </c>
      <c r="C14" s="50" t="inlineStr">
        <is>
          <t>Portfolio Weight (w):</t>
        </is>
      </c>
      <c r="D14" s="61" t="n">
        <v>0.4</v>
      </c>
    </row>
    <row r="15" ht="15" customHeight="1" s="51"/>
    <row r="16" ht="15" customHeight="1" s="51">
      <c r="A16" s="50" t="inlineStr">
        <is>
          <t>Correlation (Correlation(A,B)):</t>
        </is>
      </c>
      <c r="B16" s="81" t="n">
        <v>0.3</v>
      </c>
      <c r="C16" s="50" t="inlineStr">
        <is>
          <t>(-1 to +1)</t>
        </is>
      </c>
    </row>
    <row r="17">
      <c r="A17" s="50" t="inlineStr">
        <is>
          <t>Weight Check:</t>
        </is>
      </c>
      <c r="B17" s="69">
        <f>B13+D13</f>
        <v/>
      </c>
      <c r="C17" s="50" t="inlineStr">
        <is>
          <t>Should = 100%</t>
        </is>
      </c>
    </row>
    <row r="18" ht="15" customHeight="1" s="51"/>
    <row r="19">
      <c r="A19" s="58" t="inlineStr">
        <is>
          <t>B. TOTAL RISK CALCULATION (Relevant for Undiversified Investors)</t>
        </is>
      </c>
    </row>
    <row r="20" ht="15" customHeight="1" s="51"/>
    <row r="21" ht="15" customHeight="1" s="51">
      <c r="A21" s="50" t="inlineStr">
        <is>
          <t>Portfolio Variance (Portfolio Variance):</t>
        </is>
      </c>
      <c r="B21" s="71">
        <f>B13^2*B11^2 + D13^2*D11^2 + 2*B13*D13*B15*B11*D11</f>
        <v/>
      </c>
    </row>
    <row r="22">
      <c r="A22" s="50" t="inlineStr">
        <is>
          <t>Portfolio Volatility (Portfolio Std Dev):</t>
        </is>
      </c>
      <c r="B22" s="96">
        <f>SQRT(B21)</f>
        <v/>
      </c>
    </row>
    <row r="23" ht="15" customHeight="1" s="51"/>
    <row r="24" ht="15" customHeight="1" s="51">
      <c r="A24" s="50" t="inlineStr">
        <is>
          <t>Individual Asset Volatilities:</t>
        </is>
      </c>
      <c r="B24" s="50" t="inlineStr">
        <is>
          <t>Asset A:</t>
        </is>
      </c>
      <c r="C24" s="64">
        <f>B11</f>
        <v/>
      </c>
    </row>
    <row r="25" ht="15" customHeight="1" s="51">
      <c r="B25" s="50" t="inlineStr">
        <is>
          <t>Asset B:</t>
        </is>
      </c>
      <c r="C25" s="64">
        <f>D11</f>
        <v/>
      </c>
    </row>
    <row r="26">
      <c r="A26" s="50" t="inlineStr">
        <is>
          <t>Diversification Benefit:</t>
        </is>
      </c>
      <c r="B26" s="50" t="inlineStr">
        <is>
          <t>Portfolio vol &lt; weighted avg vol?</t>
        </is>
      </c>
      <c r="C26" s="59">
        <f>IF(B21&lt;B13*B11+D13*D11,"YES - Diversified","NO")</f>
        <v/>
      </c>
    </row>
    <row r="27" ht="15" customHeight="1" s="51"/>
    <row r="28" ht="15" customHeight="1" s="51">
      <c r="A28" s="59" t="inlineStr">
        <is>
          <t>CORRELATION SENSITIVITY:</t>
        </is>
      </c>
    </row>
    <row r="29" ht="15" customHeight="1" s="51">
      <c r="A29" s="50" t="inlineStr">
        <is>
          <t>Portfolio Std Dev at different correlations:</t>
        </is>
      </c>
    </row>
    <row r="30" ht="15" customHeight="1" s="51">
      <c r="A30" s="82" t="inlineStr">
        <is>
          <t>Correlation</t>
        </is>
      </c>
      <c r="B30" s="82" t="inlineStr">
        <is>
          <t>Portfolio Std Dev</t>
        </is>
      </c>
    </row>
    <row r="31" ht="15" customHeight="1" s="51">
      <c r="A31" s="97" t="n">
        <v>-1</v>
      </c>
      <c r="B31" s="69">
        <f>SQRT($B$13^2*$B$11^2 + $D$13^2*$D$11^2 + 2*$B$13*$D$13*A30*$B$11*$D$11)</f>
        <v/>
      </c>
    </row>
    <row r="32" ht="15" customHeight="1" s="51">
      <c r="A32" s="97" t="n">
        <v>-0.5</v>
      </c>
      <c r="B32" s="69">
        <f>SQRT($B$13^2*$B$11^2 + $D$13^2*$D$11^2 + 2*$B$13*$D$13*A31*$B$11*$D$11)</f>
        <v/>
      </c>
    </row>
    <row r="33" ht="15" customHeight="1" s="51">
      <c r="A33" s="97" t="n">
        <v>0</v>
      </c>
      <c r="B33" s="69">
        <f>SQRT($B$13^2*$B$11^2 + $D$13^2*$D$11^2 + 2*$B$13*$D$13*A32*$B$11*$D$11)</f>
        <v/>
      </c>
    </row>
    <row r="34" ht="15" customHeight="1" s="51">
      <c r="A34" s="97" t="n">
        <v>0.3</v>
      </c>
      <c r="B34" s="69">
        <f>SQRT($B$13^2*$B$11^2 + $D$13^2*$D$11^2 + 2*$B$13*$D$13*A33*$B$11*$D$11)</f>
        <v/>
      </c>
    </row>
    <row r="35" ht="15" customHeight="1" s="51">
      <c r="A35" s="97" t="n">
        <v>0.5</v>
      </c>
      <c r="B35" s="69">
        <f>SQRT($B$13^2*$B$11^2 + $D$13^2*$D$11^2 + 2*$B$13*$D$13*A34*$B$11*$D$11)</f>
        <v/>
      </c>
    </row>
    <row r="36">
      <c r="A36" s="97" t="n">
        <v>1</v>
      </c>
      <c r="B36" s="69">
        <f>SQRT($B$13^2*$B$11^2 + $D$13^2*$D$11^2 + 2*$B$13*$D$13*A35*$B$11*$D$11)</f>
        <v/>
      </c>
    </row>
    <row r="37" ht="15" customHeight="1" s="51"/>
    <row r="38">
      <c r="A38" s="58" t="inlineStr">
        <is>
          <t>C. SYSTEMATIC RISK (Relevant for Diversified Investors)</t>
        </is>
      </c>
    </row>
    <row r="39" ht="15" customHeight="1" s="51"/>
    <row r="40">
      <c r="A40" s="50" t="inlineStr">
        <is>
          <t>Portfolio Beta (Portfolio Beta):</t>
        </is>
      </c>
      <c r="B40" s="98">
        <f>B13*B12 + D13*D12</f>
        <v/>
      </c>
    </row>
    <row r="41" ht="15" customHeight="1" s="51"/>
    <row r="42" ht="15" customHeight="1" s="51">
      <c r="A42" s="59" t="inlineStr">
        <is>
          <t>KEY INSIGHT:</t>
        </is>
      </c>
    </row>
    <row r="43" ht="15" customHeight="1" s="51">
      <c r="A43" s="50" t="inlineStr">
        <is>
          <t>• For DIVERSIFIED investors: Only beta matters (systematic risk)</t>
        </is>
      </c>
    </row>
    <row r="44" ht="15" customHeight="1" s="51">
      <c r="A44" s="50" t="inlineStr">
        <is>
          <t>• For UNDIVERSIFIED investors: Total volatility matters</t>
        </is>
      </c>
    </row>
    <row r="45" ht="15" customHeight="1" s="51">
      <c r="A45" s="50" t="inlineStr">
        <is>
          <t>• Lower correlation → better diversification (lower portfolio Std Dev)</t>
        </is>
      </c>
    </row>
    <row r="46">
      <c r="A46" s="50" t="inlineStr">
        <is>
          <t>• Beta is linear in weights, volatility is not</t>
        </is>
      </c>
    </row>
  </sheetData>
  <mergeCells count="5">
    <mergeCell ref="A4:E4"/>
    <mergeCell ref="A1:F1"/>
    <mergeCell ref="A9:F9"/>
    <mergeCell ref="A37:E37"/>
    <mergeCell ref="A18:E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5" customWidth="1" style="50" min="1" max="1"/>
    <col width="15" customWidth="1" style="50" min="2" max="6"/>
  </cols>
  <sheetData>
    <row r="1" ht="17.25" customHeight="1" s="51">
      <c r="A1" s="118" t="inlineStr">
        <is>
          <t>This sheet implements Archetype 10: Option Portfolios &amp; Payoff Diagrams</t>
        </is>
      </c>
    </row>
    <row r="2" ht="15" customHeight="1" s="51">
      <c r="A2" s="116" t="inlineStr">
        <is>
          <t>📌 EXAM QUICK REFERENCE</t>
        </is>
      </c>
    </row>
    <row r="3">
      <c r="B3" s="117" t="inlineStr">
        <is>
          <t>• Convertible securities and hybrid instruments questions</t>
        </is>
      </c>
    </row>
    <row r="4" ht="15" customHeight="1" s="51"/>
    <row r="5" ht="15" customHeight="1" s="51"/>
    <row r="6" ht="15" customHeight="1" s="51">
      <c r="B6" s="117" t="inlineStr">
        <is>
          <t>• Bull spreads, bear spreads, collars</t>
        </is>
      </c>
    </row>
    <row r="7" ht="15" customHeight="1" s="51">
      <c r="B7" s="117" t="inlineStr">
        <is>
          <t>• Management incentives with different securities</t>
        </is>
      </c>
    </row>
    <row r="9" ht="15" customHeight="1" s="51">
      <c r="A9" s="56" t="inlineStr">
        <is>
          <t>OPTION PORTFOLIOS &amp; PAYOFF DIAGRAMS</t>
        </is>
      </c>
    </row>
    <row r="10" ht="15" customHeight="1" s="51">
      <c r="A10" s="57" t="inlineStr">
        <is>
          <t>Calculates payoffs for complex option strategies (spreads, straddles, etc.)</t>
        </is>
      </c>
    </row>
    <row r="11" ht="15" customHeight="1" s="51"/>
    <row r="12" ht="15" customHeight="1" s="51">
      <c r="A12" s="58" t="inlineStr">
        <is>
          <t>INSTRUCTIONS:</t>
        </is>
      </c>
    </row>
    <row r="13" ht="15" customHeight="1" s="51">
      <c r="A13" s="50" t="inlineStr">
        <is>
          <t>1. Define each position: type (Call/Put/Stock), sign (+1 long/-1 short), strike, cost</t>
        </is>
      </c>
    </row>
    <row r="14">
      <c r="A14" s="50" t="inlineStr">
        <is>
          <t>2. Template calculates total payoff across stock price range</t>
        </is>
      </c>
    </row>
    <row r="15" ht="15" customHeight="1" s="51">
      <c r="A15" s="50" t="inlineStr">
        <is>
          <t>3. Review payoff diagram characteristics and net profit</t>
        </is>
      </c>
    </row>
    <row r="17" ht="15" customHeight="1" s="51">
      <c r="A17" s="58" t="inlineStr">
        <is>
          <t>A. PORTFOLIO DEFINITION</t>
        </is>
      </c>
    </row>
    <row r="18" ht="15" customHeight="1" s="51">
      <c r="A18" s="67" t="inlineStr">
        <is>
          <t>Component</t>
        </is>
      </c>
    </row>
    <row r="19" ht="15" customHeight="1" s="51">
      <c r="A19" s="50" t="inlineStr">
        <is>
          <t>Position 1</t>
        </is>
      </c>
      <c r="B19" s="60" t="inlineStr">
        <is>
          <t>Call</t>
        </is>
      </c>
      <c r="C19" s="99" t="n">
        <v>1</v>
      </c>
      <c r="D19" s="99" t="n">
        <v>1</v>
      </c>
      <c r="E19" s="94" t="n">
        <v>100</v>
      </c>
      <c r="F19" s="94" t="n">
        <v>5</v>
      </c>
    </row>
    <row r="20" ht="15" customHeight="1" s="51">
      <c r="A20" s="50" t="inlineStr">
        <is>
          <t>Position 2</t>
        </is>
      </c>
      <c r="B20" s="60" t="inlineStr">
        <is>
          <t>Put</t>
        </is>
      </c>
      <c r="C20" s="99" t="n">
        <v>1</v>
      </c>
      <c r="D20" s="99" t="n">
        <v>1</v>
      </c>
      <c r="E20" s="94" t="n">
        <v>100</v>
      </c>
      <c r="F20" s="94" t="n">
        <v>5</v>
      </c>
    </row>
    <row r="21" ht="15" customHeight="1" s="51">
      <c r="A21" s="50" t="inlineStr">
        <is>
          <t>Position 3</t>
        </is>
      </c>
      <c r="B21" s="60" t="inlineStr">
        <is>
          <t>Stock</t>
        </is>
      </c>
      <c r="C21" s="99" t="n">
        <v>0</v>
      </c>
      <c r="D21" s="99" t="n">
        <v>0</v>
      </c>
      <c r="E21" s="94" t="n">
        <v>0</v>
      </c>
      <c r="F21" s="94" t="n">
        <v>0</v>
      </c>
    </row>
    <row r="22" ht="15" customHeight="1" s="51"/>
    <row r="23" ht="15" customHeight="1" s="51">
      <c r="A23" s="50" t="inlineStr">
        <is>
          <t>Total Initial Cost:</t>
        </is>
      </c>
      <c r="F23" s="100">
        <f>SUMPRODUCT(C11:C13,D11:D13,F11:F13)</f>
        <v/>
      </c>
    </row>
    <row r="24" ht="15" customHeight="1" s="51"/>
    <row r="25" ht="15" customHeight="1" s="51">
      <c r="A25" s="58" t="inlineStr">
        <is>
          <t>B. PAYOFF CALCULATION TABLE</t>
        </is>
      </c>
    </row>
    <row r="26" ht="15" customHeight="1" s="51">
      <c r="A26" s="67" t="inlineStr">
        <is>
          <t>Stock Price (S_T)</t>
        </is>
      </c>
      <c r="B26" s="67" t="inlineStr">
        <is>
          <t>Pos 1 Payoff</t>
        </is>
      </c>
      <c r="C26" s="67" t="inlineStr">
        <is>
          <t>Pos 2 Payoff</t>
        </is>
      </c>
      <c r="D26" s="67" t="inlineStr">
        <is>
          <t>Pos 3 Payoff</t>
        </is>
      </c>
      <c r="E26" s="67" t="inlineStr">
        <is>
          <t>Total Payoff</t>
        </is>
      </c>
      <c r="F26" s="67" t="inlineStr">
        <is>
          <t>Net Profit</t>
        </is>
      </c>
    </row>
    <row r="27" ht="15" customHeight="1" s="51">
      <c r="A27" s="94" t="n">
        <v>70</v>
      </c>
      <c r="B27" s="89">
        <f>IF($B$11="Call", $C$11*$D$11*MAX(A19-$E$11,0), IF($B$11="Put", $C$11*$D$11*MAX($E$11-A19,0), IF($B$11="Stock", $C$11*$D$11*A19, 0)))</f>
        <v/>
      </c>
      <c r="C27" s="89">
        <f>IF($B$12="Call", $C$12*$D$12*MAX(A19-$E$12,0), IF($B$12="Put", $C$12*$D$12*MAX($E$12-A19,0), IF($B$12="Stock", $C$12*$D$12*A19, 0)))</f>
        <v/>
      </c>
      <c r="D27" s="89">
        <f>IF($B$13="Call", $C$13*$D$13*MAX(A19-$E$13,0), IF($B$13="Put", $C$13*$D$13*MAX($E$13-A19,0), IF($B$13="Stock", $C$13*$D$13*A19, 0)))</f>
        <v/>
      </c>
      <c r="E27" s="88">
        <f>B19+C19+D19</f>
        <v/>
      </c>
      <c r="F27" s="101">
        <f>E19-$F$15</f>
        <v/>
      </c>
    </row>
    <row r="28">
      <c r="A28" s="94" t="n">
        <v>80</v>
      </c>
      <c r="B28" s="89">
        <f>IF($B$11="Call", $C$11*$D$11*MAX(A20-$E$11,0), IF($B$11="Put", $C$11*$D$11*MAX($E$11-A20,0), IF($B$11="Stock", $C$11*$D$11*A20, 0)))</f>
        <v/>
      </c>
      <c r="C28" s="89">
        <f>IF($B$12="Call", $C$12*$D$12*MAX(A20-$E$12,0), IF($B$12="Put", $C$12*$D$12*MAX($E$12-A20,0), IF($B$12="Stock", $C$12*$D$12*A20, 0)))</f>
        <v/>
      </c>
      <c r="D28" s="89">
        <f>IF($B$13="Call", $C$13*$D$13*MAX(A20-$E$13,0), IF($B$13="Put", $C$13*$D$13*MAX($E$13-A20,0), IF($B$13="Stock", $C$13*$D$13*A20, 0)))</f>
        <v/>
      </c>
      <c r="E28" s="88">
        <f>B20+C20+D20</f>
        <v/>
      </c>
      <c r="F28" s="101">
        <f>E20-$F$15</f>
        <v/>
      </c>
    </row>
    <row r="29" ht="15" customHeight="1" s="51">
      <c r="A29" s="94" t="n">
        <v>90</v>
      </c>
      <c r="F29" s="101">
        <f>E21-$F$15</f>
        <v/>
      </c>
    </row>
    <row r="30" ht="15" customHeight="1" s="51">
      <c r="A30" s="94" t="n">
        <v>95</v>
      </c>
      <c r="F30" s="101">
        <f>E22-$F$15</f>
        <v/>
      </c>
    </row>
    <row r="31" ht="15" customHeight="1" s="51">
      <c r="A31" s="94" t="n">
        <v>100</v>
      </c>
      <c r="B31" s="89">
        <f>IF($B$11="Call", $C$11*$D$11*MAX(A23-$E$11,0), IF($B$11="Put", $C$11*$D$11*MAX($E$11-A23,0), IF($B$11="Stock", $C$11*$D$11*A23, 0)))</f>
        <v/>
      </c>
      <c r="C31" s="89">
        <f>IF($B$12="Call", $C$12*$D$12*MAX(A23-$E$12,0), IF($B$12="Put", $C$12*$D$12*MAX($E$12-A23,0), IF($B$12="Stock", $C$12*$D$12*A23, 0)))</f>
        <v/>
      </c>
      <c r="D31" s="89">
        <f>IF($B$13="Call", $C$13*$D$13*MAX(A23-$E$13,0), IF($B$13="Put", $C$13*$D$13*MAX($E$13-A23,0), IF($B$13="Stock", $C$13*$D$13*A23, 0)))</f>
        <v/>
      </c>
      <c r="E31" s="88">
        <f>B23+C23+D23</f>
        <v/>
      </c>
      <c r="F31" s="101">
        <f>E23-$F$15</f>
        <v/>
      </c>
    </row>
    <row r="32" ht="15" customHeight="1" s="51">
      <c r="A32" s="94" t="n">
        <v>105</v>
      </c>
      <c r="B32" s="89">
        <f>IF($B$11="Call", $C$11*$D$11*MAX(A24-$E$11,0), IF($B$11="Put", $C$11*$D$11*MAX($E$11-A24,0), IF($B$11="Stock", $C$11*$D$11*A24, 0)))</f>
        <v/>
      </c>
      <c r="C32" s="89">
        <f>IF($B$12="Call", $C$12*$D$12*MAX(A24-$E$12,0), IF($B$12="Put", $C$12*$D$12*MAX($E$12-A24,0), IF($B$12="Stock", $C$12*$D$12*A24, 0)))</f>
        <v/>
      </c>
      <c r="D32" s="89">
        <f>IF($B$13="Call", $C$13*$D$13*MAX(A24-$E$13,0), IF($B$13="Put", $C$13*$D$13*MAX($E$13-A24,0), IF($B$13="Stock", $C$13*$D$13*A24, 0)))</f>
        <v/>
      </c>
      <c r="E32" s="88">
        <f>B24+C24+D24</f>
        <v/>
      </c>
      <c r="F32" s="101">
        <f>E24-$F$15</f>
        <v/>
      </c>
    </row>
    <row r="33" ht="15" customHeight="1" s="51">
      <c r="A33" s="94" t="n">
        <v>110</v>
      </c>
      <c r="B33" s="89">
        <f>IF($B$11="Call", $C$11*$D$11*MAX(A25-$E$11,0), IF($B$11="Put", $C$11*$D$11*MAX($E$11-A25,0), IF($B$11="Stock", $C$11*$D$11*A25, 0)))</f>
        <v/>
      </c>
      <c r="C33" s="89">
        <f>IF($B$12="Call", $C$12*$D$12*MAX(A25-$E$12,0), IF($B$12="Put", $C$12*$D$12*MAX($E$12-A25,0), IF($B$12="Stock", $C$12*$D$12*A25, 0)))</f>
        <v/>
      </c>
      <c r="D33" s="89">
        <f>IF($B$13="Call", $C$13*$D$13*MAX(A25-$E$13,0), IF($B$13="Put", $C$13*$D$13*MAX($E$13-A25,0), IF($B$13="Stock", $C$13*$D$13*A25, 0)))</f>
        <v/>
      </c>
      <c r="E33" s="88">
        <f>B25+C25+D25</f>
        <v/>
      </c>
      <c r="F33" s="101">
        <f>E25-$F$15</f>
        <v/>
      </c>
    </row>
    <row r="34">
      <c r="A34" s="94" t="n">
        <v>120</v>
      </c>
      <c r="B34" s="89">
        <f>IF($B$11="Call", $C$11*$D$11*MAX(A26-$E$11,0), IF($B$11="Put", $C$11*$D$11*MAX($E$11-A26,0), IF($B$11="Stock", $C$11*$D$11*A26, 0)))</f>
        <v/>
      </c>
      <c r="C34" s="89">
        <f>IF($B$12="Call", $C$12*$D$12*MAX(A26-$E$12,0), IF($B$12="Put", $C$12*$D$12*MAX($E$12-A26,0), IF($B$12="Stock", $C$12*$D$12*A26, 0)))</f>
        <v/>
      </c>
      <c r="D34" s="89">
        <f>IF($B$13="Call", $C$13*$D$13*MAX(A26-$E$13,0), IF($B$13="Put", $C$13*$D$13*MAX($E$13-A26,0), IF($B$13="Stock", $C$13*$D$13*A26, 0)))</f>
        <v/>
      </c>
      <c r="E34" s="88">
        <f>B26+C26+D26</f>
        <v/>
      </c>
      <c r="F34" s="101">
        <f>E26-$F$15</f>
        <v/>
      </c>
    </row>
    <row r="35" ht="15" customHeight="1" s="51">
      <c r="A35" s="94" t="n">
        <v>130</v>
      </c>
      <c r="B35" s="89">
        <f>IF($B$11="Call", $C$11*$D$11*MAX(A27-$E$11,0), IF($B$11="Put", $C$11*$D$11*MAX($E$11-A27,0), IF($B$11="Stock", $C$11*$D$11*A27, 0)))</f>
        <v/>
      </c>
      <c r="C35" s="89">
        <f>IF($B$12="Call", $C$12*$D$12*MAX(A27-$E$12,0), IF($B$12="Put", $C$12*$D$12*MAX($E$12-A27,0), IF($B$12="Stock", $C$12*$D$12*A27, 0)))</f>
        <v/>
      </c>
      <c r="D35" s="89">
        <f>IF($B$13="Call", $C$13*$D$13*MAX(A27-$E$13,0), IF($B$13="Put", $C$13*$D$13*MAX($E$13-A27,0), IF($B$13="Stock", $C$13*$D$13*A27, 0)))</f>
        <v/>
      </c>
      <c r="E35" s="88">
        <f>B27+C27+D27</f>
        <v/>
      </c>
      <c r="F35" s="101">
        <f>E27-$F$15</f>
        <v/>
      </c>
    </row>
    <row r="36" ht="15" customHeight="1" s="51"/>
    <row r="37" ht="15" customHeight="1" s="51">
      <c r="A37" s="58" t="inlineStr">
        <is>
          <t>C. STRATEGY CHARACTERISTICS</t>
        </is>
      </c>
    </row>
    <row r="38" ht="15" customHeight="1" s="51">
      <c r="A38" s="50" t="inlineStr">
        <is>
          <t>Strategy Name:</t>
        </is>
      </c>
      <c r="B38" s="60" t="inlineStr">
        <is>
          <t>Long Straddle</t>
        </is>
      </c>
      <c r="C38" s="50" t="inlineStr">
        <is>
          <t>(Example - modify positions above)</t>
        </is>
      </c>
    </row>
    <row r="39" ht="15" customHeight="1" s="51">
      <c r="A39" s="50" t="inlineStr">
        <is>
          <t>Maximum Loss:</t>
        </is>
      </c>
      <c r="B39" s="89">
        <f>MIN(F19:F27)</f>
        <v/>
      </c>
    </row>
    <row r="40">
      <c r="A40" s="50" t="inlineStr">
        <is>
          <t>Maximum Gain:</t>
        </is>
      </c>
      <c r="B40" s="60" t="inlineStr">
        <is>
          <t>Unlimited</t>
        </is>
      </c>
    </row>
    <row r="41" ht="15" customHeight="1" s="51">
      <c r="A41" s="50" t="inlineStr">
        <is>
          <t>Breakeven Points:</t>
        </is>
      </c>
      <c r="B41" s="50" t="inlineStr">
        <is>
          <t>Where Net Profit = 0</t>
        </is>
      </c>
    </row>
    <row r="42" ht="15" customHeight="1" s="51"/>
    <row r="43" ht="15" customHeight="1" s="51">
      <c r="A43" s="59" t="inlineStr">
        <is>
          <t>KEY INSIGHTS:</t>
        </is>
      </c>
    </row>
    <row r="44" ht="15" customHeight="1" s="51">
      <c r="A44" s="50" t="inlineStr">
        <is>
          <t>• Long Straddle profits from high volatility (large price moves either direction)</t>
        </is>
      </c>
    </row>
    <row r="45" ht="15" customHeight="1" s="51">
      <c r="A45" s="50" t="inlineStr">
        <is>
          <t>• Maximum loss = total premium paid (if S_T = K at expiration)</t>
        </is>
      </c>
    </row>
    <row r="46">
      <c r="A46" s="50" t="inlineStr">
        <is>
          <t>• Breakevens: K ± Total Premium</t>
        </is>
      </c>
    </row>
    <row r="47">
      <c r="A47" s="50" t="inlineStr">
        <is>
          <t>• High beta when stock is near strike (directionally sensitive)</t>
        </is>
      </c>
    </row>
    <row r="49">
      <c r="A49" s="59" t="inlineStr">
        <is>
          <t>TO CREATE OTHER STRATEGIES:</t>
        </is>
      </c>
    </row>
    <row r="50">
      <c r="A50" s="50" t="inlineStr">
        <is>
          <t>• Bull Call Spread: Long Call (low K), Short Call (high K)</t>
        </is>
      </c>
    </row>
    <row r="51">
      <c r="A51" s="50" t="inlineStr">
        <is>
          <t>• Protective Put: Long Stock (+1), Long Put (+1)</t>
        </is>
      </c>
    </row>
    <row r="52">
      <c r="A52" s="50" t="inlineStr">
        <is>
          <t>• Covered Call: Long Stock (+1), Short Call (-1)</t>
        </is>
      </c>
    </row>
    <row r="53">
      <c r="A53" s="50" t="inlineStr">
        <is>
          <t>• Collar: Long Stock, Long Put, Short Call</t>
        </is>
      </c>
    </row>
  </sheetData>
  <mergeCells count="9">
    <mergeCell ref="A29:E29"/>
    <mergeCell ref="B6:F6"/>
    <mergeCell ref="B2:F2"/>
    <mergeCell ref="A1:F1"/>
    <mergeCell ref="A9:F9"/>
    <mergeCell ref="B3:F3"/>
    <mergeCell ref="B5:F5"/>
    <mergeCell ref="A4:F4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2025-11-22T07:32:13Z</dcterms:created>
  <dcterms:modified xmlns:dcterms="http://purl.org/dc/terms/" xmlns:xsi="http://www.w3.org/2001/XMLSchema-instance" xsi:type="dcterms:W3CDTF">2025-11-23T06:15:23Z</dcterms:modified>
  <cp:revision>0</cp:revision>
</cp:coreProperties>
</file>